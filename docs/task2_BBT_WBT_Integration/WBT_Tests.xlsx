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" sheetId="1" r:id="rId4"/>
    <sheet state="visible" name=" Req_CFG_CC_Paths (AddTransacti" sheetId="2" r:id="rId5"/>
    <sheet state="visible" name="Req_TC_coverage (AddTransaction" sheetId="3" r:id="rId6"/>
    <sheet state="visible" name="Req_CFG_CC_Paths(mothlyReport f" sheetId="4" r:id="rId7"/>
    <sheet state="visible" name="Req_TC_coverage (mothlyReport f" sheetId="5" r:id="rId8"/>
    <sheet state="visible" name="Req_Statistics" sheetId="6" r:id="rId9"/>
  </sheets>
  <definedNames/>
  <calcPr/>
  <extLst>
    <ext uri="GoogleSheetsCustomDataVersion2">
      <go:sheetsCustomData xmlns:go="http://customooxmlschemas.google.com/" r:id="rId10" roundtripDataChecksum="mJqyqhq5YlEBIh9x7COHdVkvvZfhXxybjvs2BQJw/A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======
ID#AAAB6ifChzg
Author    (2026-05-17 15:15:39)
fill with DONE after re-testing</t>
      </text>
    </comment>
    <comment authorId="0" ref="H5">
      <text>
        <t xml:space="preserve">======
ID#AAAB6ifChzc
Author    (2026-05-17 15:15:39)
fill with YES after debugging</t>
      </text>
    </comment>
  </commentList>
  <extLst>
    <ext uri="GoogleSheetsCustomDataVersion2">
      <go:sheetsCustomData xmlns:go="http://customooxmlschemas.google.com/" r:id="rId1" roundtripDataSignature="AMtx7mhJujyAxU5iZGAMbk1aZ08JH11opg=="/>
    </ext>
  </extLst>
</comments>
</file>

<file path=xl/sharedStrings.xml><?xml version="1.0" encoding="utf-8"?>
<sst xmlns="http://schemas.openxmlformats.org/spreadsheetml/2006/main" count="208" uniqueCount="91">
  <si>
    <t>Statement</t>
  </si>
  <si>
    <t>Specification</t>
  </si>
  <si>
    <t>Data</t>
  </si>
  <si>
    <t>precondition</t>
  </si>
  <si>
    <t>Results</t>
  </si>
  <si>
    <t>postcondition</t>
  </si>
  <si>
    <t>Cyclomatic complexity</t>
  </si>
  <si>
    <t>CC_1</t>
  </si>
  <si>
    <t>regions</t>
  </si>
  <si>
    <t>CC_2</t>
  </si>
  <si>
    <t>E-N+2</t>
  </si>
  <si>
    <t>CC_3</t>
  </si>
  <si>
    <t>Predicate+1</t>
  </si>
  <si>
    <t>Individual Paths</t>
  </si>
  <si>
    <t>1(T) -&gt; 2 -&gt; 10</t>
  </si>
  <si>
    <t>1(F) -&gt; 3(T) -&gt; 4 -&gt; 10</t>
  </si>
  <si>
    <t>1(F) -&gt; 3(F) -&gt; 5 -&gt; 6 -&gt; 7(T) -&gt; 8 -&gt;10</t>
  </si>
  <si>
    <t>1(F) -&gt; 3(F) -&gt; 5 -&gt; 6 -&gt; 7(T) -&gt; 9 -&gt; 10</t>
  </si>
  <si>
    <t>Condition/Decision coverage</t>
  </si>
  <si>
    <t>Path coverage</t>
  </si>
  <si>
    <t>Loop coverage</t>
  </si>
  <si>
    <t>input data</t>
  </si>
  <si>
    <t>output data</t>
  </si>
  <si>
    <t>No TC</t>
  </si>
  <si>
    <t>memberId</t>
  </si>
  <si>
    <t>categoryId</t>
  </si>
  <si>
    <t>expected</t>
  </si>
  <si>
    <t>actual result</t>
  </si>
  <si>
    <t>coverage</t>
  </si>
  <si>
    <t>T</t>
  </si>
  <si>
    <t>F</t>
  </si>
  <si>
    <t>no</t>
  </si>
  <si>
    <t>n-1</t>
  </si>
  <si>
    <t>n</t>
  </si>
  <si>
    <t>n+1</t>
  </si>
  <si>
    <t>m&lt;n</t>
  </si>
  <si>
    <t>Member 99 does not exist</t>
  </si>
  <si>
    <t>test passed</t>
  </si>
  <si>
    <t>1T, 2, 10</t>
  </si>
  <si>
    <t>x</t>
  </si>
  <si>
    <t>Category 99 does not exist</t>
  </si>
  <si>
    <t>1F,  3T, 4, 10</t>
  </si>
  <si>
    <t xml:space="preserve">returns created Transaction </t>
  </si>
  <si>
    <t>1F, 3F, 5, 6, 7F,  9, 10</t>
  </si>
  <si>
    <t>Transaction with id ... already exists</t>
  </si>
  <si>
    <t>1F, 3F, 5, 6, 7T, 8, 10</t>
  </si>
  <si>
    <t>Remarks</t>
  </si>
  <si>
    <t>1) TCs: x,y,z - are not possible to be created</t>
  </si>
  <si>
    <t>2) TC x is equal to TC y, redundancy</t>
  </si>
  <si>
    <t>3) TCs: n,m,o - not possible - compiler checked</t>
  </si>
  <si>
    <t>1T -&gt; 2 -&gt; 17</t>
  </si>
  <si>
    <t>1F -&gt; 3 -&gt; 4 -&gt; 16 -&gt; 17</t>
  </si>
  <si>
    <t>1F -&gt; 3 -&gt; 4 -&gt; 5 -&gt; 6 -&gt; 7 -&gt; 8T -&gt; 7 -&gt; 15 -&gt; 4 -&gt; 16 -&gt; 17</t>
  </si>
  <si>
    <t>1F -&gt; 3 -&gt; 4 -&gt; 5 -&gt; 6 -&gt; 7 -&gt; 8F -&gt; 9T -&gt; 7 -&gt; 15 -&gt; 4 -&gt; 16 -&gt; 17</t>
  </si>
  <si>
    <t>1F -&gt; 3 -&gt; 4 -&gt; 5 -&gt; 6 -&gt; 7 -&gt; 8F -&gt; 9F -&gt; 10 -&gt; 11T -&gt;  7 -&gt; 15 -&gt; 4 -&gt; 16 -&gt; 17</t>
  </si>
  <si>
    <t>1F -&gt; 3 -&gt; 4 -&gt; 5 -&gt; 6 -&gt; 7 -&gt; 8F -&gt; 9F -&gt; 10 -&gt; 11F -&gt; 12T -&gt; 13 -&gt;  7 -&gt; 15 -&gt; 4 -&gt; 16 -&gt; 17</t>
  </si>
  <si>
    <t>1F -&gt; 3 -&gt; 4 -&gt; 5 -&gt; 6 -&gt; 7 -&gt; 8F -&gt; 9F -&gt; 10 -&gt; 11F -&gt; 12F -&gt; 14 -&gt;  7 -&gt; 15 -&gt; 4 -&gt; 16 -&gt; 18</t>
  </si>
  <si>
    <t>month</t>
  </si>
  <si>
    <t>null</t>
  </si>
  <si>
    <t>month cannot be null</t>
  </si>
  <si>
    <t>passed</t>
  </si>
  <si>
    <t>1T, 2</t>
  </si>
  <si>
    <t>member with no transaction</t>
  </si>
  <si>
    <t>report for member</t>
  </si>
  <si>
    <t>1F, 3, 4, 16, 17</t>
  </si>
  <si>
    <t>memberRepo.findAll() -&gt; [Member(1,"Bob",...)] ; transactionRepo.findAll() -&gt; [Transaction(1, memberId=2, categoryId=1, amount=30.0, date=2024-05-03, "x"</t>
  </si>
  <si>
    <t>report for member 1 with income=0.0, expense=0.0</t>
  </si>
  <si>
    <t>1F, 3, 4, 5, 6, 7, 8T, 7, 15, 4, 16, 17</t>
  </si>
  <si>
    <t>memberRepo.findAll() -&gt; [Member(1,...)] ; transactionRepo.findAll() -&gt; [Transaction(id=1, memberId=1, categoryId=1, amount=30.0, date=2024-06-01)] ; month = YearMonth.of(2024,5)</t>
  </si>
  <si>
    <t>1F, 3, 4, 5, 6, 7, 8F, 9T, 7, 15, 4, 16, 17</t>
  </si>
  <si>
    <t>a transaction with member+month match but categoryRepo.findOne(...) -&gt; Optional.empty()</t>
  </si>
  <si>
    <t>transaction skipped, totals unchanged</t>
  </si>
  <si>
    <t>1F, 3, 4, 5, 6, 7, 8F, 9F, 10, 11T, 7, 15, 4, 16, 17</t>
  </si>
  <si>
    <t>1 member, two transaction(one income, one expense) in same YearMonth</t>
  </si>
  <si>
    <t>report totals correct (income non-zero, expense non-zero)</t>
  </si>
  <si>
    <t>1F, 3, 4, 5, 6, 7, 8F, 9F, 10, 11F, 12T/12F, 13/14, 7, 15, 4, 16, 17</t>
  </si>
  <si>
    <t>Testing</t>
  </si>
  <si>
    <t>Debugging</t>
  </si>
  <si>
    <t>Re-testing</t>
  </si>
  <si>
    <t>Req. ID</t>
  </si>
  <si>
    <t>TCs run</t>
  </si>
  <si>
    <r>
      <rPr>
        <rFont val="Calibri"/>
        <b/>
        <color theme="1"/>
        <sz val="11.0"/>
      </rPr>
      <t xml:space="preserve">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</si>
  <si>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TCs    </t>
    </r>
    <r>
      <rPr>
        <rFont val="Calibri"/>
        <b/>
        <color rgb="FFFF0000"/>
        <sz val="11.0"/>
      </rPr>
      <t>failed</t>
    </r>
  </si>
  <si>
    <t>% Coverage</t>
  </si>
  <si>
    <t>No of BUGS</t>
  </si>
  <si>
    <t>Bugs Fixed</t>
  </si>
  <si>
    <t>Re-tested</t>
  </si>
  <si>
    <r>
      <rPr>
        <rFont val="Calibri"/>
        <b/>
        <color theme="1"/>
        <sz val="11.0"/>
      </rPr>
      <t xml:space="preserve">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</si>
  <si>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TCs    </t>
    </r>
    <r>
      <rPr>
        <rFont val="Calibri"/>
        <b/>
        <color rgb="FFFF0000"/>
        <sz val="11.0"/>
      </rPr>
      <t>failed</t>
    </r>
  </si>
  <si>
    <t>Req_b)</t>
  </si>
  <si>
    <t>not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</si>
</sst>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000000"/>
      <name val="Calibri"/>
      <scheme val="minor"/>
    </font>
    <font>
      <sz val="11.0"/>
      <color rgb="FFFF0000"/>
      <name val="Calibri"/>
    </font>
    <font>
      <sz val="11.0"/>
      <color rgb="FF31859B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B8CCE4"/>
        <bgColor rgb="FFB8CCE4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</fills>
  <borders count="4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6" fillId="3" fontId="1" numFmtId="0" xfId="0" applyAlignment="1" applyBorder="1" applyFill="1" applyFont="1">
      <alignment horizontal="center" shrinkToFit="0" vertical="bottom" wrapText="0"/>
    </xf>
    <xf borderId="7" fillId="0" fontId="3" numFmtId="0" xfId="0" applyBorder="1" applyFont="1"/>
    <xf borderId="8" fillId="0" fontId="3" numFmtId="0" xfId="0" applyBorder="1" applyFont="1"/>
    <xf borderId="6" fillId="4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1" fillId="0" fontId="3" numFmtId="0" xfId="0" applyBorder="1" applyFont="1"/>
    <xf borderId="12" fillId="0" fontId="1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1" fillId="2" fontId="1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horizontal="center" readingOrder="0" shrinkToFit="0" vertical="bottom" wrapText="0"/>
    </xf>
    <xf borderId="14" fillId="4" fontId="1" numFmtId="0" xfId="0" applyAlignment="1" applyBorder="1" applyFont="1">
      <alignment horizontal="center"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bottom" wrapText="0"/>
    </xf>
    <xf borderId="17" fillId="0" fontId="3" numFmtId="0" xfId="0" applyBorder="1" applyFont="1"/>
    <xf borderId="1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18" fillId="0" fontId="2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0" fillId="6" fontId="4" numFmtId="0" xfId="0" applyAlignment="1" applyFill="1" applyFont="1">
      <alignment readingOrder="0"/>
    </xf>
    <xf borderId="5" fillId="0" fontId="2" numFmtId="0" xfId="0" applyAlignment="1" applyBorder="1" applyFont="1">
      <alignment shrinkToFit="0" vertical="bottom" wrapText="0"/>
    </xf>
    <xf borderId="18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19" fillId="0" fontId="1" numFmtId="0" xfId="0" applyAlignment="1" applyBorder="1" applyFont="1">
      <alignment horizontal="center" shrinkToFit="0" vertical="bottom" wrapText="0"/>
    </xf>
    <xf borderId="14" fillId="4" fontId="1" numFmtId="0" xfId="0" applyAlignment="1" applyBorder="1" applyFont="1">
      <alignment horizontal="center" readingOrder="0" shrinkToFit="0" vertical="bottom" wrapText="0"/>
    </xf>
    <xf borderId="20" fillId="0" fontId="2" numFmtId="0" xfId="0" applyAlignment="1" applyBorder="1" applyFont="1">
      <alignment horizontal="center" shrinkToFit="0" vertical="center" wrapText="0"/>
    </xf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 shrinkToFit="0" vertical="center" wrapText="0"/>
    </xf>
    <xf borderId="24" fillId="0" fontId="2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27" fillId="0" fontId="1" numFmtId="0" xfId="0" applyAlignment="1" applyBorder="1" applyFont="1">
      <alignment shrinkToFit="0" vertical="bottom" wrapText="0"/>
    </xf>
    <xf borderId="28" fillId="0" fontId="2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0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" fillId="0" fontId="1" numFmtId="0" xfId="0" applyAlignment="1" applyBorder="1" applyFont="1">
      <alignment horizontal="center" shrinkToFit="0" vertical="center" wrapText="0"/>
    </xf>
    <xf borderId="39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40" fillId="0" fontId="1" numFmtId="0" xfId="0" applyAlignment="1" applyBorder="1" applyFont="1">
      <alignment shrinkToFit="0" vertical="bottom" wrapText="0"/>
    </xf>
    <xf borderId="4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2</xdr:row>
      <xdr:rowOff>171450</xdr:rowOff>
    </xdr:from>
    <xdr:ext cx="3990975" cy="3886200"/>
    <xdr:sp>
      <xdr:nvSpPr>
        <xdr:cNvPr id="3" name="Shape 3"/>
        <xdr:cNvSpPr/>
      </xdr:nvSpPr>
      <xdr:spPr>
        <a:xfrm>
          <a:off x="3659475" y="1442575"/>
          <a:ext cx="3967200" cy="3871500"/>
        </a:xfrm>
        <a:prstGeom prst="rect">
          <a:avLst/>
        </a:prstGeom>
        <a:gradFill>
          <a:gsLst>
            <a:gs pos="0">
              <a:srgbClr val="DAFDA7"/>
            </a:gs>
            <a:gs pos="35000">
              <a:srgbClr val="E4FDC2"/>
            </a:gs>
            <a:gs pos="100000">
              <a:srgbClr val="F5FFE6"/>
            </a:gs>
          </a:gsLst>
          <a:lin ang="16200000" scaled="0"/>
        </a:gradFill>
        <a:ln cap="flat" cmpd="sng" w="9525">
          <a:solidFill>
            <a:srgbClr val="98B95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public Transaction addTransaction(Long memberId, Long categoryId, double amount, LocalDate date, String description)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</a:t>
          </a:r>
          <a:r>
            <a:rPr b="1" lang="en-US" sz="900"/>
            <a:t> 1. </a:t>
          </a:r>
          <a:r>
            <a:rPr lang="en-US" sz="900"/>
            <a:t>  if (memberRepo.findOne(memberId).isEmpty())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</a:t>
          </a:r>
          <a:r>
            <a:rPr b="1" lang="en-US" sz="900"/>
            <a:t>2.</a:t>
          </a:r>
          <a:r>
            <a:rPr lang="en-US" sz="900"/>
            <a:t>      throw new ValidationException("Member " + memberId + " does not exist");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</a:t>
          </a:r>
          <a:r>
            <a:rPr b="1" lang="en-US" sz="900"/>
            <a:t>3</a:t>
          </a:r>
          <a:r>
            <a:rPr lang="en-US" sz="900"/>
            <a:t>.  if (categoryRepo.findOne(categoryId).isEmpty())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</a:t>
          </a:r>
          <a:r>
            <a:rPr b="1" lang="en-US" sz="900"/>
            <a:t>4.</a:t>
          </a:r>
          <a:r>
            <a:rPr lang="en-US" sz="900"/>
            <a:t>    throw new ValidationException("Category " + categoryId + " does not exist");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</a:t>
          </a:r>
          <a:r>
            <a:rPr b="1" lang="en-US" sz="900"/>
            <a:t>5</a:t>
          </a:r>
          <a:r>
            <a:rPr lang="en-US" sz="900"/>
            <a:t>.   Transaction t = new Transaction(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transactionSeq.incrementAndGet(),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memberId, categoryId, amount, date, description);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</a:t>
          </a:r>
          <a:r>
            <a:rPr b="1" lang="en-US" sz="900"/>
            <a:t>6.</a:t>
          </a:r>
          <a:r>
            <a:rPr lang="en-US" sz="900"/>
            <a:t>  Optional&lt;Transaction&gt; result = transactionRepo.save(t);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</a:t>
          </a:r>
          <a:r>
            <a:rPr b="1" lang="en-US" sz="900"/>
            <a:t>7. </a:t>
          </a:r>
          <a:r>
            <a:rPr lang="en-US" sz="900"/>
            <a:t> if (result.isPresent())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</a:t>
          </a:r>
          <a:r>
            <a:rPr b="1" lang="en-US" sz="900"/>
            <a:t>8.</a:t>
          </a:r>
          <a:r>
            <a:rPr lang="en-US" sz="900"/>
            <a:t>   throw new IllegalStateException("Transaction with id " + t.getId() + " already exists");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</a:t>
          </a:r>
          <a:r>
            <a:rPr b="1" lang="en-US" sz="900"/>
            <a:t>9. </a:t>
          </a:r>
          <a:r>
            <a:rPr lang="en-US" sz="900"/>
            <a:t>return t;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} </a:t>
          </a:r>
          <a:r>
            <a:rPr b="1" lang="en-US" sz="900"/>
            <a:t>10.</a:t>
          </a:r>
          <a:endParaRPr b="1"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solidFill>
              <a:srgbClr val="569CD6"/>
            </a:solidFill>
            <a:highlight>
              <a:srgbClr val="1E1E1E"/>
            </a:highlight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  <xdr:oneCellAnchor>
    <xdr:from>
      <xdr:col>5</xdr:col>
      <xdr:colOff>342900</xdr:colOff>
      <xdr:row>2</xdr:row>
      <xdr:rowOff>171450</xdr:rowOff>
    </xdr:from>
    <xdr:ext cx="3124200" cy="4000500"/>
    <xdr:grpSp>
      <xdr:nvGrpSpPr>
        <xdr:cNvPr id="2" name="Shape 2" title="Drawing"/>
        <xdr:cNvGrpSpPr/>
      </xdr:nvGrpSpPr>
      <xdr:grpSpPr>
        <a:xfrm>
          <a:off x="3680663" y="1618800"/>
          <a:ext cx="3102012" cy="3977700"/>
          <a:chOff x="3680663" y="1618800"/>
          <a:chExt cx="3102012" cy="3977700"/>
        </a:xfrm>
      </xdr:grpSpPr>
      <xdr:sp>
        <xdr:nvSpPr>
          <xdr:cNvPr id="4" name="Shape 4"/>
          <xdr:cNvSpPr/>
        </xdr:nvSpPr>
        <xdr:spPr>
          <a:xfrm>
            <a:off x="3680675" y="1618800"/>
            <a:ext cx="3102000" cy="3977700"/>
          </a:xfrm>
          <a:prstGeom prst="rect">
            <a:avLst/>
          </a:prstGeom>
          <a:gradFill>
            <a:gsLst>
              <a:gs pos="0">
                <a:srgbClr val="DAFDA7"/>
              </a:gs>
              <a:gs pos="35000">
                <a:srgbClr val="E4FDC2"/>
              </a:gs>
              <a:gs pos="100000">
                <a:srgbClr val="F5FFE6"/>
              </a:gs>
            </a:gsLst>
            <a:lin ang="16200000" scaled="0"/>
          </a:gradFill>
          <a:ln cap="flat" cmpd="sng" w="9525">
            <a:solidFill>
              <a:srgbClr val="98B954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5033175" y="1739575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</a:t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5552763" y="2305550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</a:t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4386125" y="2305550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3</a:t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3680663" y="4626975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4</a:t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4704188" y="2877025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5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4905713" y="3448500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6</a:t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4971863" y="4184275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7</a:t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4386113" y="4453375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8</a:t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5491463" y="4626975"/>
            <a:ext cx="519600" cy="3183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9</a:t>
            </a:r>
            <a:endParaRPr sz="1400"/>
          </a:p>
        </xdr:txBody>
      </xdr:sp>
      <xdr:cxnSp>
        <xdr:nvCxnSpPr>
          <xdr:cNvPr id="14" name="Shape 14"/>
          <xdr:cNvCxnSpPr>
            <a:stCxn id="5" idx="5"/>
            <a:endCxn id="6" idx="1"/>
          </xdr:cNvCxnSpPr>
        </xdr:nvCxnSpPr>
        <xdr:spPr>
          <a:xfrm>
            <a:off x="5476681" y="2011261"/>
            <a:ext cx="152100" cy="340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15" name="Shape 15"/>
          <xdr:cNvCxnSpPr>
            <a:stCxn id="5" idx="3"/>
            <a:endCxn id="7" idx="7"/>
          </xdr:cNvCxnSpPr>
        </xdr:nvCxnSpPr>
        <xdr:spPr>
          <a:xfrm flipH="1">
            <a:off x="4829669" y="2011261"/>
            <a:ext cx="279600" cy="340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16" name="Shape 16"/>
          <xdr:cNvCxnSpPr>
            <a:stCxn id="7" idx="4"/>
            <a:endCxn id="8" idx="7"/>
          </xdr:cNvCxnSpPr>
        </xdr:nvCxnSpPr>
        <xdr:spPr>
          <a:xfrm flipH="1">
            <a:off x="4124225" y="2623850"/>
            <a:ext cx="521700" cy="2049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17" name="Shape 17"/>
          <xdr:cNvCxnSpPr>
            <a:stCxn id="7" idx="4"/>
            <a:endCxn id="9" idx="1"/>
          </xdr:cNvCxnSpPr>
        </xdr:nvCxnSpPr>
        <xdr:spPr>
          <a:xfrm>
            <a:off x="4645925" y="2623850"/>
            <a:ext cx="134400" cy="29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18" name="Shape 18"/>
          <xdr:cNvCxnSpPr>
            <a:stCxn id="9" idx="5"/>
            <a:endCxn id="10" idx="0"/>
          </xdr:cNvCxnSpPr>
        </xdr:nvCxnSpPr>
        <xdr:spPr>
          <a:xfrm>
            <a:off x="5147694" y="3148711"/>
            <a:ext cx="17700" cy="29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19" name="Shape 19"/>
          <xdr:cNvCxnSpPr>
            <a:stCxn id="10" idx="4"/>
            <a:endCxn id="11" idx="0"/>
          </xdr:cNvCxnSpPr>
        </xdr:nvCxnSpPr>
        <xdr:spPr>
          <a:xfrm>
            <a:off x="5165513" y="3766800"/>
            <a:ext cx="66300" cy="417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20" name="Shape 20"/>
          <xdr:cNvCxnSpPr>
            <a:endCxn id="12" idx="7"/>
          </xdr:cNvCxnSpPr>
        </xdr:nvCxnSpPr>
        <xdr:spPr>
          <a:xfrm flipH="1">
            <a:off x="4829619" y="4455889"/>
            <a:ext cx="218400" cy="4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21" name="Shape 21"/>
          <xdr:cNvCxnSpPr>
            <a:stCxn id="11" idx="5"/>
            <a:endCxn id="13" idx="0"/>
          </xdr:cNvCxnSpPr>
        </xdr:nvCxnSpPr>
        <xdr:spPr>
          <a:xfrm>
            <a:off x="5415369" y="4455961"/>
            <a:ext cx="336000" cy="171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22" name="Shape 22"/>
          <xdr:cNvSpPr/>
        </xdr:nvSpPr>
        <xdr:spPr>
          <a:xfrm>
            <a:off x="5552780" y="5182425"/>
            <a:ext cx="726600" cy="2997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cxnSp>
        <xdr:nvCxnSpPr>
          <xdr:cNvPr id="23" name="Shape 23"/>
          <xdr:cNvCxnSpPr>
            <a:stCxn id="13" idx="5"/>
            <a:endCxn id="22" idx="0"/>
          </xdr:cNvCxnSpPr>
        </xdr:nvCxnSpPr>
        <xdr:spPr>
          <a:xfrm flipH="1">
            <a:off x="5916069" y="4898661"/>
            <a:ext cx="18900" cy="283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24" name="Shape 24"/>
          <xdr:cNvCxnSpPr>
            <a:stCxn id="8" idx="5"/>
            <a:endCxn id="22" idx="2"/>
          </xdr:cNvCxnSpPr>
        </xdr:nvCxnSpPr>
        <xdr:spPr>
          <a:xfrm>
            <a:off x="4124169" y="4898661"/>
            <a:ext cx="1428600" cy="4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5" name="Shape 25"/>
          <xdr:cNvCxnSpPr>
            <a:stCxn id="6" idx="5"/>
            <a:endCxn id="22" idx="6"/>
          </xdr:cNvCxnSpPr>
        </xdr:nvCxnSpPr>
        <xdr:spPr>
          <a:xfrm>
            <a:off x="5996269" y="2577236"/>
            <a:ext cx="283200" cy="2754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6" name="Shape 26"/>
          <xdr:cNvCxnSpPr>
            <a:stCxn id="12" idx="5"/>
            <a:endCxn id="22" idx="1"/>
          </xdr:cNvCxnSpPr>
        </xdr:nvCxnSpPr>
        <xdr:spPr>
          <a:xfrm>
            <a:off x="4829619" y="4725061"/>
            <a:ext cx="829500" cy="501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171450</xdr:rowOff>
    </xdr:from>
    <xdr:ext cx="3990975" cy="4695825"/>
    <xdr:sp>
      <xdr:nvSpPr>
        <xdr:cNvPr id="3" name="Shape 3"/>
        <xdr:cNvSpPr/>
      </xdr:nvSpPr>
      <xdr:spPr>
        <a:xfrm>
          <a:off x="3659475" y="944025"/>
          <a:ext cx="3967200" cy="4677900"/>
        </a:xfrm>
        <a:prstGeom prst="rect">
          <a:avLst/>
        </a:prstGeom>
        <a:gradFill>
          <a:gsLst>
            <a:gs pos="0">
              <a:srgbClr val="DAFDA7"/>
            </a:gs>
            <a:gs pos="35000">
              <a:srgbClr val="E4FDC2"/>
            </a:gs>
            <a:gs pos="100000">
              <a:srgbClr val="F5FFE6"/>
            </a:gs>
          </a:gsLst>
          <a:lin ang="16200000" scaled="0"/>
        </a:gradFill>
        <a:ln cap="flat" cmpd="sng" w="9525">
          <a:solidFill>
            <a:srgbClr val="98B95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public List&lt;MemberBudgetReport&gt; monthlyReport(YearMonth month)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</a:t>
          </a:r>
          <a:r>
            <a:rPr b="1" lang="en-US" sz="900"/>
            <a:t>1. </a:t>
          </a:r>
          <a:r>
            <a:rPr lang="en-US" sz="900"/>
            <a:t>if (month == null)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</a:t>
          </a:r>
          <a:r>
            <a:rPr b="1" lang="en-US" sz="900"/>
            <a:t>2. </a:t>
          </a:r>
          <a:r>
            <a:rPr lang="en-US" sz="900"/>
            <a:t> throw new IllegalArgumentException("month cannot be null");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</a:t>
          </a:r>
          <a:r>
            <a:rPr b="1" lang="en-US" sz="900"/>
            <a:t>3. </a:t>
          </a:r>
          <a:r>
            <a:rPr lang="en-US" sz="900"/>
            <a:t> List&lt;MemberBudgetReport&gt; reports = new ArrayList&lt;&gt;();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</a:t>
          </a:r>
          <a:r>
            <a:rPr b="1" lang="en-US" sz="900"/>
            <a:t>4. </a:t>
          </a:r>
          <a:r>
            <a:rPr lang="en-US" sz="900"/>
            <a:t>for (Member m : memberRepo.findAll())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</a:t>
          </a:r>
          <a:r>
            <a:rPr b="1" lang="en-US" sz="900"/>
            <a:t>5. </a:t>
          </a:r>
          <a:r>
            <a:rPr lang="en-US" sz="900"/>
            <a:t>double income = 0.0;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</a:t>
          </a:r>
          <a:r>
            <a:rPr b="1" lang="en-US" sz="900"/>
            <a:t>6.</a:t>
          </a:r>
          <a:r>
            <a:rPr lang="en-US" sz="900"/>
            <a:t> double expense = 0.0;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</a:t>
          </a:r>
          <a:r>
            <a:rPr b="1" lang="en-US" sz="900"/>
            <a:t>7. </a:t>
          </a:r>
          <a:r>
            <a:rPr lang="en-US" sz="900"/>
            <a:t>for (Transaction t : transactionRepo.findAll())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</a:t>
          </a:r>
          <a:r>
            <a:rPr b="1" lang="en-US" sz="900"/>
            <a:t>8.</a:t>
          </a:r>
          <a:r>
            <a:rPr lang="en-US" sz="900"/>
            <a:t>  if (!m.getId().equals(t.getMemberId())) continue;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</a:t>
          </a:r>
          <a:r>
            <a:rPr b="1" lang="en-US" sz="900"/>
            <a:t>9. </a:t>
          </a:r>
          <a:r>
            <a:rPr lang="en-US" sz="900"/>
            <a:t>if (!YearMonth.from(t.getDate()).equals(month))continue;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</a:t>
          </a:r>
          <a:r>
            <a:rPr b="1" lang="en-US" sz="900"/>
            <a:t>10. </a:t>
          </a:r>
          <a:r>
            <a:rPr lang="en-US" sz="900"/>
            <a:t>Optional&lt;Category&gt; cat = categoryRepo.findOne(t.getCategoryId());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</a:t>
          </a:r>
          <a:r>
            <a:rPr b="1" lang="en-US" sz="900"/>
            <a:t>11. </a:t>
          </a:r>
          <a:r>
            <a:rPr lang="en-US" sz="900"/>
            <a:t>if (cat.isEmpty()) continue;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</a:t>
          </a:r>
          <a:r>
            <a:rPr b="1" lang="en-US" sz="900"/>
            <a:t>12. </a:t>
          </a:r>
          <a:r>
            <a:rPr lang="en-US" sz="900"/>
            <a:t>if (cat.get().getType() == CategoryType.INCOME)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  </a:t>
          </a:r>
          <a:r>
            <a:rPr b="1" lang="en-US" sz="900"/>
            <a:t>13.</a:t>
          </a:r>
          <a:r>
            <a:rPr lang="en-US" sz="900"/>
            <a:t>  income += t.getAmount();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} else {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   </a:t>
          </a:r>
          <a:r>
            <a:rPr b="1" lang="en-US" sz="900"/>
            <a:t>14. </a:t>
          </a:r>
          <a:r>
            <a:rPr lang="en-US" sz="900"/>
            <a:t> expense += t.getAmount();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    </a:t>
          </a:r>
          <a:r>
            <a:rPr b="1" lang="en-US" sz="900"/>
            <a:t>15. </a:t>
          </a:r>
          <a:r>
            <a:rPr lang="en-US" sz="900"/>
            <a:t>reports.add(new MemberBudgetReport(m.getId(), m.getName(), income, expense));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}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    </a:t>
          </a:r>
          <a:r>
            <a:rPr b="1" lang="en-US" sz="900"/>
            <a:t>16. </a:t>
          </a:r>
          <a:r>
            <a:rPr lang="en-US" sz="900"/>
            <a:t>return reports;</a:t>
          </a:r>
          <a:endParaRPr sz="9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    } </a:t>
          </a:r>
          <a:r>
            <a:rPr b="1" lang="en-US" sz="900"/>
            <a:t>17.</a:t>
          </a:r>
          <a:endParaRPr b="1" sz="900">
            <a:solidFill>
              <a:srgbClr val="569CD6"/>
            </a:solidFill>
            <a:highlight>
              <a:srgbClr val="1E1E1E"/>
            </a:highlight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  <xdr:oneCellAnchor>
    <xdr:from>
      <xdr:col>4</xdr:col>
      <xdr:colOff>152400</xdr:colOff>
      <xdr:row>2</xdr:row>
      <xdr:rowOff>66675</xdr:rowOff>
    </xdr:from>
    <xdr:ext cx="4048125" cy="7486650"/>
    <xdr:grpSp>
      <xdr:nvGrpSpPr>
        <xdr:cNvPr id="2" name="Shape 2" title="Drawing"/>
        <xdr:cNvGrpSpPr/>
      </xdr:nvGrpSpPr>
      <xdr:grpSpPr>
        <a:xfrm>
          <a:off x="3718550" y="0"/>
          <a:ext cx="4024800" cy="7478100"/>
          <a:chOff x="3718550" y="0"/>
          <a:chExt cx="4024800" cy="7478100"/>
        </a:xfrm>
      </xdr:grpSpPr>
      <xdr:sp>
        <xdr:nvSpPr>
          <xdr:cNvPr id="4" name="Shape 4"/>
          <xdr:cNvSpPr/>
        </xdr:nvSpPr>
        <xdr:spPr>
          <a:xfrm>
            <a:off x="3718550" y="0"/>
            <a:ext cx="4024800" cy="7478100"/>
          </a:xfrm>
          <a:prstGeom prst="rect">
            <a:avLst/>
          </a:prstGeom>
          <a:gradFill>
            <a:gsLst>
              <a:gs pos="0">
                <a:srgbClr val="DAFDA7"/>
              </a:gs>
              <a:gs pos="35000">
                <a:srgbClr val="E4FDC2"/>
              </a:gs>
              <a:gs pos="100000">
                <a:srgbClr val="F5FFE6"/>
              </a:gs>
            </a:gsLst>
            <a:lin ang="16200000" scaled="0"/>
          </a:gradFill>
          <a:ln cap="flat" cmpd="sng" w="9525">
            <a:solidFill>
              <a:srgbClr val="98B954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4889900" y="31820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</a:t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3992175" y="84185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</a:t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5430800" y="84185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3</a:t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5430800" y="143305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4</a:t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4608500" y="194610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3912825" y="2704625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17</a:t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5971700" y="186685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5</a:t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6018150" y="2385125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6</a:t>
            </a:r>
            <a:endParaRPr sz="1400"/>
          </a:p>
        </xdr:txBody>
      </xdr:sp>
      <xdr:cxnSp>
        <xdr:nvCxnSpPr>
          <xdr:cNvPr id="35" name="Shape 35"/>
          <xdr:cNvCxnSpPr>
            <a:stCxn id="27" idx="3"/>
            <a:endCxn id="28" idx="7"/>
          </xdr:cNvCxnSpPr>
        </xdr:nvCxnSpPr>
        <xdr:spPr>
          <a:xfrm flipH="1">
            <a:off x="4453713" y="617029"/>
            <a:ext cx="515400" cy="276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6" name="Shape 36"/>
          <xdr:cNvCxnSpPr>
            <a:stCxn id="28" idx="3"/>
            <a:endCxn id="32" idx="1"/>
          </xdr:cNvCxnSpPr>
        </xdr:nvCxnSpPr>
        <xdr:spPr>
          <a:xfrm flipH="1">
            <a:off x="3992188" y="1140679"/>
            <a:ext cx="79200" cy="1615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7" name="Shape 37"/>
          <xdr:cNvCxnSpPr>
            <a:stCxn id="27" idx="5"/>
            <a:endCxn id="29" idx="0"/>
          </xdr:cNvCxnSpPr>
        </xdr:nvCxnSpPr>
        <xdr:spPr>
          <a:xfrm>
            <a:off x="5351587" y="617029"/>
            <a:ext cx="349800" cy="224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8" name="Shape 38"/>
          <xdr:cNvCxnSpPr>
            <a:stCxn id="29" idx="4"/>
            <a:endCxn id="30" idx="0"/>
          </xdr:cNvCxnSpPr>
        </xdr:nvCxnSpPr>
        <xdr:spPr>
          <a:xfrm>
            <a:off x="5701250" y="1191950"/>
            <a:ext cx="0" cy="241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9" name="Shape 39"/>
          <xdr:cNvCxnSpPr>
            <a:stCxn id="30" idx="3"/>
            <a:endCxn id="31" idx="0"/>
          </xdr:cNvCxnSpPr>
        </xdr:nvCxnSpPr>
        <xdr:spPr>
          <a:xfrm flipH="1">
            <a:off x="4878813" y="1731879"/>
            <a:ext cx="631200" cy="214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0" name="Shape 40"/>
          <xdr:cNvCxnSpPr>
            <a:stCxn id="31" idx="4"/>
            <a:endCxn id="32" idx="0"/>
          </xdr:cNvCxnSpPr>
        </xdr:nvCxnSpPr>
        <xdr:spPr>
          <a:xfrm flipH="1">
            <a:off x="4183250" y="2296200"/>
            <a:ext cx="695700" cy="408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1" name="Shape 41"/>
          <xdr:cNvCxnSpPr>
            <a:stCxn id="30" idx="5"/>
            <a:endCxn id="33" idx="0"/>
          </xdr:cNvCxnSpPr>
        </xdr:nvCxnSpPr>
        <xdr:spPr>
          <a:xfrm>
            <a:off x="5892487" y="1731879"/>
            <a:ext cx="349800" cy="135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2" name="Shape 42"/>
          <xdr:cNvCxnSpPr>
            <a:stCxn id="33" idx="4"/>
            <a:endCxn id="34" idx="0"/>
          </xdr:cNvCxnSpPr>
        </xdr:nvCxnSpPr>
        <xdr:spPr>
          <a:xfrm>
            <a:off x="6242150" y="2216950"/>
            <a:ext cx="46500" cy="168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3" name="Shape 43"/>
          <xdr:cNvSpPr/>
        </xdr:nvSpPr>
        <xdr:spPr>
          <a:xfrm>
            <a:off x="5994950" y="298955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7</a:t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337925" y="456740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cxnSp>
        <xdr:nvCxnSpPr>
          <xdr:cNvPr id="45" name="Shape 45"/>
          <xdr:cNvCxnSpPr>
            <a:stCxn id="34" idx="4"/>
            <a:endCxn id="43" idx="0"/>
          </xdr:cNvCxnSpPr>
        </xdr:nvCxnSpPr>
        <xdr:spPr>
          <a:xfrm flipH="1">
            <a:off x="6265500" y="2735225"/>
            <a:ext cx="23100" cy="25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6" name="Shape 46"/>
          <xdr:cNvCxnSpPr>
            <a:stCxn id="43" idx="3"/>
            <a:endCxn id="44" idx="7"/>
          </xdr:cNvCxnSpPr>
        </xdr:nvCxnSpPr>
        <xdr:spPr>
          <a:xfrm flipH="1">
            <a:off x="4799463" y="3288379"/>
            <a:ext cx="1274700" cy="1330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7" name="Shape 47"/>
          <xdr:cNvSpPr/>
        </xdr:nvSpPr>
        <xdr:spPr>
          <a:xfrm>
            <a:off x="6535850" y="3441275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8</a:t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6074175" y="389300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9</a:t>
            </a:r>
            <a:endParaRPr sz="1400"/>
          </a:p>
        </xdr:txBody>
      </xdr:sp>
      <xdr:cxnSp>
        <xdr:nvCxnSpPr>
          <xdr:cNvPr id="49" name="Shape 49"/>
          <xdr:cNvCxnSpPr>
            <a:stCxn id="47" idx="1"/>
            <a:endCxn id="43" idx="4"/>
          </xdr:cNvCxnSpPr>
        </xdr:nvCxnSpPr>
        <xdr:spPr>
          <a:xfrm rot="10800000">
            <a:off x="6265263" y="3339546"/>
            <a:ext cx="349800" cy="153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0" name="Shape 50"/>
          <xdr:cNvCxnSpPr>
            <a:stCxn id="43" idx="5"/>
            <a:endCxn id="47" idx="0"/>
          </xdr:cNvCxnSpPr>
        </xdr:nvCxnSpPr>
        <xdr:spPr>
          <a:xfrm>
            <a:off x="6456637" y="3288379"/>
            <a:ext cx="349800" cy="153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1" name="Shape 51"/>
          <xdr:cNvCxnSpPr>
            <a:stCxn id="47" idx="4"/>
            <a:endCxn id="48" idx="7"/>
          </xdr:cNvCxnSpPr>
        </xdr:nvCxnSpPr>
        <xdr:spPr>
          <a:xfrm flipH="1">
            <a:off x="6536000" y="3791375"/>
            <a:ext cx="270300" cy="153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2" name="Shape 52"/>
          <xdr:cNvCxnSpPr>
            <a:stCxn id="48" idx="0"/>
            <a:endCxn id="43" idx="4"/>
          </xdr:cNvCxnSpPr>
        </xdr:nvCxnSpPr>
        <xdr:spPr>
          <a:xfrm rot="10800000">
            <a:off x="6265425" y="3339800"/>
            <a:ext cx="79200" cy="553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3" name="Shape 53"/>
          <xdr:cNvCxnSpPr>
            <a:stCxn id="48" idx="4"/>
          </xdr:cNvCxnSpPr>
        </xdr:nvCxnSpPr>
        <xdr:spPr>
          <a:xfrm flipH="1">
            <a:off x="6024825" y="4243100"/>
            <a:ext cx="319800" cy="23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4" name="Shape 54"/>
          <xdr:cNvSpPr/>
        </xdr:nvSpPr>
        <xdr:spPr>
          <a:xfrm>
            <a:off x="5625525" y="4462325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5625525" y="503165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5625525" y="5600975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cxnSp>
        <xdr:nvCxnSpPr>
          <xdr:cNvPr id="57" name="Shape 57"/>
          <xdr:cNvCxnSpPr>
            <a:stCxn id="54" idx="4"/>
            <a:endCxn id="55" idx="0"/>
          </xdr:cNvCxnSpPr>
        </xdr:nvCxnSpPr>
        <xdr:spPr>
          <a:xfrm>
            <a:off x="5895975" y="4812425"/>
            <a:ext cx="0" cy="219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8" name="Shape 58"/>
          <xdr:cNvCxnSpPr>
            <a:stCxn id="55" idx="4"/>
            <a:endCxn id="56" idx="0"/>
          </xdr:cNvCxnSpPr>
        </xdr:nvCxnSpPr>
        <xdr:spPr>
          <a:xfrm>
            <a:off x="5895975" y="5381750"/>
            <a:ext cx="0" cy="219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9" name="Shape 59"/>
          <xdr:cNvSpPr/>
        </xdr:nvSpPr>
        <xdr:spPr>
          <a:xfrm>
            <a:off x="5075550" y="6033375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4608500" y="6852300"/>
            <a:ext cx="540900" cy="350100"/>
          </a:xfrm>
          <a:prstGeom prst="ellipse">
            <a:avLst/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4A86E8"/>
            </a:solidFill>
            <a:prstDash val="solid"/>
            <a:miter lim="8000"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cxnSp>
        <xdr:nvCxnSpPr>
          <xdr:cNvPr id="61" name="Shape 61"/>
          <xdr:cNvCxnSpPr>
            <a:stCxn id="44" idx="0"/>
            <a:endCxn id="30" idx="4"/>
          </xdr:cNvCxnSpPr>
        </xdr:nvCxnSpPr>
        <xdr:spPr>
          <a:xfrm flipH="1" rot="10800000">
            <a:off x="4608375" y="1783100"/>
            <a:ext cx="1092900" cy="2784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2" name="Shape 62"/>
          <xdr:cNvCxnSpPr>
            <a:stCxn id="56" idx="3"/>
            <a:endCxn id="59" idx="7"/>
          </xdr:cNvCxnSpPr>
        </xdr:nvCxnSpPr>
        <xdr:spPr>
          <a:xfrm flipH="1">
            <a:off x="5537338" y="5899804"/>
            <a:ext cx="167400" cy="18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3" name="Shape 63"/>
          <xdr:cNvCxnSpPr>
            <a:stCxn id="56" idx="5"/>
            <a:endCxn id="60" idx="7"/>
          </xdr:cNvCxnSpPr>
        </xdr:nvCxnSpPr>
        <xdr:spPr>
          <a:xfrm flipH="1">
            <a:off x="5070212" y="5899804"/>
            <a:ext cx="1017000" cy="1003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4" name="Shape 64"/>
          <xdr:cNvCxnSpPr>
            <a:stCxn id="55" idx="6"/>
          </xdr:cNvCxnSpPr>
        </xdr:nvCxnSpPr>
        <xdr:spPr>
          <a:xfrm flipH="1" rot="10800000">
            <a:off x="6166425" y="3404900"/>
            <a:ext cx="1205700" cy="1801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5" name="Shape 65"/>
          <xdr:cNvCxnSpPr>
            <a:stCxn id="60" idx="6"/>
          </xdr:cNvCxnSpPr>
        </xdr:nvCxnSpPr>
        <xdr:spPr>
          <a:xfrm flipH="1" rot="10800000">
            <a:off x="5149400" y="4603350"/>
            <a:ext cx="2487900" cy="2424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6" name="Shape 66"/>
          <xdr:cNvCxnSpPr/>
        </xdr:nvCxnSpPr>
        <xdr:spPr>
          <a:xfrm rot="10800000">
            <a:off x="7637150" y="3108000"/>
            <a:ext cx="0" cy="1495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7" name="Shape 67"/>
          <xdr:cNvCxnSpPr>
            <a:stCxn id="59" idx="0"/>
          </xdr:cNvCxnSpPr>
        </xdr:nvCxnSpPr>
        <xdr:spPr>
          <a:xfrm flipH="1" rot="10800000">
            <a:off x="5346000" y="4529175"/>
            <a:ext cx="10500" cy="1504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8" name="Shape 68"/>
          <xdr:cNvCxnSpPr>
            <a:endCxn id="43" idx="3"/>
          </xdr:cNvCxnSpPr>
        </xdr:nvCxnSpPr>
        <xdr:spPr>
          <a:xfrm flipH="1" rot="10800000">
            <a:off x="5346063" y="3288379"/>
            <a:ext cx="728100" cy="1240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9" name="Shape 69"/>
          <xdr:cNvCxnSpPr>
            <a:endCxn id="43" idx="6"/>
          </xdr:cNvCxnSpPr>
        </xdr:nvCxnSpPr>
        <xdr:spPr>
          <a:xfrm rot="10800000">
            <a:off x="6535850" y="3164600"/>
            <a:ext cx="814800" cy="250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0" name="Shape 70"/>
          <xdr:cNvCxnSpPr>
            <a:endCxn id="43" idx="7"/>
          </xdr:cNvCxnSpPr>
        </xdr:nvCxnSpPr>
        <xdr:spPr>
          <a:xfrm rot="10800000">
            <a:off x="6456637" y="3040821"/>
            <a:ext cx="1170000" cy="99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54.0"/>
    <col customWidth="1" min="3" max="26" width="8.0"/>
  </cols>
  <sheetData>
    <row r="2" ht="57.75" customHeight="1">
      <c r="A2" s="1" t="s">
        <v>0</v>
      </c>
    </row>
    <row r="4" ht="15.75" customHeight="1">
      <c r="A4" s="2" t="s">
        <v>1</v>
      </c>
    </row>
    <row r="5" ht="15.75" customHeight="1">
      <c r="A5" s="3" t="s">
        <v>2</v>
      </c>
      <c r="B5" s="4"/>
    </row>
    <row r="6" ht="32.25" customHeight="1">
      <c r="A6" s="4" t="s">
        <v>3</v>
      </c>
      <c r="B6" s="5"/>
    </row>
    <row r="7" ht="15.75" customHeight="1">
      <c r="B7" s="1"/>
    </row>
    <row r="8" ht="15.75" customHeight="1">
      <c r="A8" s="3" t="s">
        <v>4</v>
      </c>
      <c r="B8" s="5"/>
    </row>
    <row r="9" ht="54.0" customHeight="1">
      <c r="A9" s="4" t="s">
        <v>5</v>
      </c>
      <c r="B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43"/>
    <col customWidth="1" min="3" max="3" width="12.57"/>
    <col customWidth="1" min="4" max="4" width="18.71"/>
    <col customWidth="1" min="5" max="13" width="8.0"/>
    <col customWidth="1" min="14" max="14" width="33.71"/>
    <col customWidth="1" min="15" max="26" width="8.0"/>
  </cols>
  <sheetData>
    <row r="3">
      <c r="M3" s="6" t="s">
        <v>6</v>
      </c>
      <c r="N3" s="7"/>
      <c r="O3" s="8"/>
    </row>
    <row r="4">
      <c r="M4" s="9" t="s">
        <v>7</v>
      </c>
      <c r="N4" s="9" t="s">
        <v>8</v>
      </c>
      <c r="O4" s="10">
        <v>4.0</v>
      </c>
    </row>
    <row r="5">
      <c r="M5" s="9" t="s">
        <v>9</v>
      </c>
      <c r="N5" s="9" t="s">
        <v>10</v>
      </c>
      <c r="O5" s="10">
        <v>4.0</v>
      </c>
    </row>
    <row r="6">
      <c r="M6" s="9" t="s">
        <v>11</v>
      </c>
      <c r="N6" s="9" t="s">
        <v>12</v>
      </c>
      <c r="O6" s="10">
        <v>4.0</v>
      </c>
    </row>
    <row r="9">
      <c r="M9" s="6" t="s">
        <v>13</v>
      </c>
      <c r="N9" s="8"/>
    </row>
    <row r="10">
      <c r="M10" s="9">
        <v>1.0</v>
      </c>
      <c r="N10" s="10" t="s">
        <v>14</v>
      </c>
    </row>
    <row r="11">
      <c r="M11" s="9">
        <v>2.0</v>
      </c>
      <c r="N11" s="10" t="s">
        <v>15</v>
      </c>
    </row>
    <row r="12">
      <c r="M12" s="9">
        <v>3.0</v>
      </c>
      <c r="N12" s="10" t="s">
        <v>16</v>
      </c>
    </row>
    <row r="13">
      <c r="M13" s="9">
        <v>4.0</v>
      </c>
      <c r="N13" s="10" t="s">
        <v>17</v>
      </c>
    </row>
    <row r="14">
      <c r="M14" s="9">
        <v>5.0</v>
      </c>
      <c r="N14" s="9"/>
    </row>
    <row r="15">
      <c r="M15" s="9">
        <v>6.0</v>
      </c>
      <c r="N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M3:O3"/>
    <mergeCell ref="M9:N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0.57"/>
    <col customWidth="1" min="4" max="4" width="10.71"/>
    <col customWidth="1" min="5" max="5" width="32.0"/>
    <col customWidth="1" min="6" max="6" width="14.71"/>
    <col customWidth="1" min="7" max="7" width="18.14"/>
    <col customWidth="1" min="8" max="14" width="3.71"/>
    <col customWidth="1" min="15" max="15" width="6.14"/>
    <col customWidth="1" min="16" max="16" width="3.71"/>
    <col customWidth="1" min="17" max="17" width="5.0"/>
    <col customWidth="1" min="18" max="29" width="3.71"/>
    <col customWidth="1" min="30" max="30" width="4.71"/>
  </cols>
  <sheetData>
    <row r="1" ht="15.75" customHeight="1">
      <c r="H1" s="11" t="s">
        <v>18</v>
      </c>
      <c r="I1" s="12"/>
      <c r="J1" s="12"/>
      <c r="K1" s="12"/>
      <c r="L1" s="12"/>
      <c r="M1" s="12"/>
      <c r="N1" s="12"/>
      <c r="O1" s="12"/>
      <c r="P1" s="12"/>
      <c r="Q1" s="13"/>
      <c r="R1" s="14" t="s">
        <v>19</v>
      </c>
      <c r="S1" s="12"/>
      <c r="T1" s="12"/>
      <c r="U1" s="12"/>
      <c r="V1" s="12"/>
      <c r="W1" s="13"/>
      <c r="X1" s="15" t="s">
        <v>20</v>
      </c>
      <c r="Y1" s="15"/>
      <c r="Z1" s="15"/>
      <c r="AA1" s="15"/>
      <c r="AB1" s="15"/>
      <c r="AC1" s="15"/>
      <c r="AD1" s="15"/>
    </row>
    <row r="2">
      <c r="B2" s="16"/>
      <c r="C2" s="17" t="s">
        <v>21</v>
      </c>
      <c r="D2" s="18"/>
      <c r="E2" s="19" t="s">
        <v>22</v>
      </c>
      <c r="F2" s="20"/>
      <c r="G2" s="21" t="s">
        <v>0</v>
      </c>
      <c r="H2" s="22">
        <v>1.0</v>
      </c>
      <c r="I2" s="13"/>
      <c r="J2" s="22">
        <v>3.0</v>
      </c>
      <c r="K2" s="13"/>
      <c r="L2" s="22">
        <v>7.0</v>
      </c>
      <c r="M2" s="13"/>
      <c r="N2" s="11"/>
      <c r="O2" s="13"/>
      <c r="P2" s="11"/>
      <c r="Q2" s="13"/>
      <c r="R2" s="23">
        <v>1.0</v>
      </c>
      <c r="S2" s="23">
        <v>2.0</v>
      </c>
      <c r="T2" s="23">
        <v>3.0</v>
      </c>
      <c r="U2" s="23">
        <v>4.0</v>
      </c>
      <c r="V2" s="23">
        <v>5.0</v>
      </c>
      <c r="W2" s="23">
        <v>6.0</v>
      </c>
      <c r="X2" s="15"/>
      <c r="Y2" s="15"/>
      <c r="Z2" s="15"/>
      <c r="AA2" s="15"/>
      <c r="AB2" s="15"/>
      <c r="AC2" s="15"/>
      <c r="AD2" s="15"/>
    </row>
    <row r="3">
      <c r="B3" s="24" t="s">
        <v>23</v>
      </c>
      <c r="C3" s="10" t="s">
        <v>24</v>
      </c>
      <c r="D3" s="10" t="s">
        <v>25</v>
      </c>
      <c r="E3" s="9" t="s">
        <v>26</v>
      </c>
      <c r="F3" s="25" t="s">
        <v>27</v>
      </c>
      <c r="G3" s="26" t="s">
        <v>28</v>
      </c>
      <c r="H3" s="27" t="s">
        <v>29</v>
      </c>
      <c r="I3" s="27" t="s">
        <v>30</v>
      </c>
      <c r="J3" s="27" t="s">
        <v>29</v>
      </c>
      <c r="K3" s="27" t="s">
        <v>30</v>
      </c>
      <c r="L3" s="27" t="s">
        <v>29</v>
      </c>
      <c r="M3" s="27" t="s">
        <v>30</v>
      </c>
      <c r="N3" s="27" t="s">
        <v>29</v>
      </c>
      <c r="O3" s="27" t="s">
        <v>30</v>
      </c>
      <c r="P3" s="27" t="s">
        <v>29</v>
      </c>
      <c r="Q3" s="27" t="s">
        <v>30</v>
      </c>
      <c r="R3" s="28"/>
      <c r="S3" s="28"/>
      <c r="T3" s="28"/>
      <c r="U3" s="28"/>
      <c r="V3" s="28"/>
      <c r="W3" s="28"/>
      <c r="X3" s="15" t="s">
        <v>31</v>
      </c>
      <c r="Y3" s="15">
        <v>1.0</v>
      </c>
      <c r="Z3" s="15">
        <v>2.0</v>
      </c>
      <c r="AA3" s="15" t="s">
        <v>32</v>
      </c>
      <c r="AB3" s="15" t="s">
        <v>33</v>
      </c>
      <c r="AC3" s="15" t="s">
        <v>34</v>
      </c>
      <c r="AD3" s="15" t="s">
        <v>35</v>
      </c>
    </row>
    <row r="4" ht="15.75" customHeight="1">
      <c r="B4" s="29">
        <v>1.0</v>
      </c>
      <c r="C4" s="30">
        <v>99.0</v>
      </c>
      <c r="D4" s="30">
        <v>1.0</v>
      </c>
      <c r="E4" s="30" t="s">
        <v>36</v>
      </c>
      <c r="F4" s="31" t="s">
        <v>37</v>
      </c>
      <c r="G4" s="32" t="s">
        <v>38</v>
      </c>
      <c r="H4" s="33" t="s">
        <v>39</v>
      </c>
      <c r="I4" s="27"/>
      <c r="J4" s="27"/>
      <c r="K4" s="27"/>
      <c r="L4" s="27"/>
      <c r="M4" s="27"/>
      <c r="N4" s="27"/>
      <c r="O4" s="27"/>
      <c r="P4" s="27"/>
      <c r="Q4" s="27"/>
      <c r="R4" s="34" t="s">
        <v>39</v>
      </c>
      <c r="S4" s="35"/>
      <c r="T4" s="35"/>
      <c r="U4" s="35"/>
      <c r="V4" s="35"/>
      <c r="W4" s="35"/>
      <c r="X4" s="36" t="s">
        <v>39</v>
      </c>
      <c r="Y4" s="15"/>
      <c r="Z4" s="15"/>
      <c r="AA4" s="15"/>
      <c r="AB4" s="15"/>
      <c r="AC4" s="15"/>
      <c r="AD4" s="15"/>
    </row>
    <row r="5" ht="15.75" customHeight="1">
      <c r="B5" s="29">
        <v>2.0</v>
      </c>
      <c r="C5" s="30">
        <v>1.0</v>
      </c>
      <c r="D5" s="30">
        <v>99.0</v>
      </c>
      <c r="E5" s="30" t="s">
        <v>40</v>
      </c>
      <c r="F5" s="31" t="s">
        <v>37</v>
      </c>
      <c r="G5" s="32" t="s">
        <v>41</v>
      </c>
      <c r="H5" s="37"/>
      <c r="I5" s="33" t="s">
        <v>39</v>
      </c>
      <c r="J5" s="33" t="s">
        <v>39</v>
      </c>
      <c r="K5" s="27"/>
      <c r="L5" s="27"/>
      <c r="M5" s="27"/>
      <c r="N5" s="27"/>
      <c r="O5" s="27"/>
      <c r="P5" s="27"/>
      <c r="Q5" s="27"/>
      <c r="R5" s="35"/>
      <c r="S5" s="34" t="s">
        <v>39</v>
      </c>
      <c r="T5" s="35"/>
      <c r="U5" s="35"/>
      <c r="V5" s="35"/>
      <c r="W5" s="35"/>
      <c r="X5" s="36" t="s">
        <v>39</v>
      </c>
      <c r="Y5" s="15"/>
      <c r="Z5" s="15"/>
      <c r="AA5" s="15"/>
      <c r="AB5" s="15"/>
      <c r="AC5" s="15"/>
      <c r="AD5" s="15"/>
    </row>
    <row r="6" ht="15.75" customHeight="1">
      <c r="B6" s="29">
        <v>3.0</v>
      </c>
      <c r="C6" s="30">
        <v>1.0</v>
      </c>
      <c r="D6" s="30">
        <v>1.0</v>
      </c>
      <c r="E6" s="30" t="s">
        <v>42</v>
      </c>
      <c r="F6" s="31" t="s">
        <v>37</v>
      </c>
      <c r="G6" s="32" t="s">
        <v>43</v>
      </c>
      <c r="H6" s="27"/>
      <c r="I6" s="33" t="s">
        <v>39</v>
      </c>
      <c r="J6" s="27"/>
      <c r="K6" s="33" t="s">
        <v>39</v>
      </c>
      <c r="L6" s="33"/>
      <c r="M6" s="33" t="s">
        <v>39</v>
      </c>
      <c r="N6" s="27"/>
      <c r="O6" s="27"/>
      <c r="P6" s="27"/>
      <c r="Q6" s="27"/>
      <c r="R6" s="35"/>
      <c r="S6" s="35"/>
      <c r="T6" s="34"/>
      <c r="U6" s="34" t="s">
        <v>39</v>
      </c>
      <c r="V6" s="35"/>
      <c r="W6" s="35"/>
      <c r="X6" s="36" t="s">
        <v>39</v>
      </c>
      <c r="Y6" s="15"/>
      <c r="Z6" s="15"/>
      <c r="AA6" s="15"/>
      <c r="AB6" s="15"/>
      <c r="AC6" s="15"/>
      <c r="AD6" s="15"/>
    </row>
    <row r="7" ht="15.75" customHeight="1">
      <c r="B7" s="29">
        <v>4.0</v>
      </c>
      <c r="C7" s="30">
        <v>1.0</v>
      </c>
      <c r="D7" s="30">
        <v>1.0</v>
      </c>
      <c r="E7" s="38" t="s">
        <v>44</v>
      </c>
      <c r="F7" s="31" t="s">
        <v>37</v>
      </c>
      <c r="G7" s="32" t="s">
        <v>45</v>
      </c>
      <c r="H7" s="27"/>
      <c r="I7" s="33" t="s">
        <v>39</v>
      </c>
      <c r="J7" s="27"/>
      <c r="K7" s="33" t="s">
        <v>39</v>
      </c>
      <c r="L7" s="33" t="s">
        <v>39</v>
      </c>
      <c r="M7" s="27"/>
      <c r="N7" s="27"/>
      <c r="O7" s="27"/>
      <c r="P7" s="27"/>
      <c r="Q7" s="27"/>
      <c r="R7" s="35"/>
      <c r="S7" s="35"/>
      <c r="T7" s="34" t="s">
        <v>39</v>
      </c>
      <c r="U7" s="35"/>
      <c r="V7" s="35"/>
      <c r="W7" s="35"/>
      <c r="X7" s="36" t="s">
        <v>39</v>
      </c>
      <c r="Y7" s="15"/>
      <c r="Z7" s="15"/>
      <c r="AA7" s="15"/>
      <c r="AB7" s="15"/>
      <c r="AC7" s="15"/>
      <c r="AD7" s="15"/>
    </row>
    <row r="8" ht="15.75" customHeight="1">
      <c r="B8" s="29">
        <v>5.0</v>
      </c>
      <c r="C8" s="39"/>
      <c r="D8" s="39"/>
      <c r="E8" s="39"/>
      <c r="F8" s="40"/>
      <c r="G8" s="21"/>
      <c r="H8" s="27"/>
      <c r="I8" s="27"/>
      <c r="J8" s="27"/>
      <c r="K8" s="27"/>
      <c r="L8" s="27"/>
      <c r="M8" s="27"/>
      <c r="N8" s="27"/>
      <c r="O8" s="27"/>
      <c r="P8" s="27"/>
      <c r="Q8" s="27"/>
      <c r="R8" s="35"/>
      <c r="S8" s="35"/>
      <c r="T8" s="35"/>
      <c r="U8" s="35"/>
      <c r="V8" s="35"/>
      <c r="W8" s="35"/>
      <c r="X8" s="15"/>
      <c r="Y8" s="15"/>
      <c r="Z8" s="15"/>
      <c r="AA8" s="15"/>
      <c r="AB8" s="15"/>
      <c r="AC8" s="15"/>
      <c r="AD8" s="15"/>
    </row>
    <row r="9" ht="15.75" customHeight="1">
      <c r="B9" s="29">
        <v>6.0</v>
      </c>
      <c r="C9" s="39"/>
      <c r="D9" s="39"/>
      <c r="E9" s="39"/>
      <c r="F9" s="40"/>
      <c r="G9" s="21"/>
      <c r="H9" s="27"/>
      <c r="I9" s="27"/>
      <c r="J9" s="27"/>
      <c r="K9" s="27"/>
      <c r="L9" s="27"/>
      <c r="M9" s="27"/>
      <c r="N9" s="27"/>
      <c r="O9" s="27"/>
      <c r="P9" s="27"/>
      <c r="Q9" s="27"/>
      <c r="R9" s="35"/>
      <c r="S9" s="35"/>
      <c r="T9" s="35"/>
      <c r="U9" s="35"/>
      <c r="V9" s="35"/>
      <c r="W9" s="35"/>
      <c r="X9" s="15"/>
      <c r="Y9" s="15"/>
      <c r="Z9" s="15"/>
      <c r="AA9" s="15"/>
      <c r="AB9" s="15"/>
      <c r="AC9" s="15"/>
      <c r="AD9" s="15"/>
    </row>
    <row r="11">
      <c r="B11" s="41" t="s">
        <v>46</v>
      </c>
    </row>
    <row r="15">
      <c r="C15" s="42" t="s">
        <v>47</v>
      </c>
    </row>
    <row r="16">
      <c r="C16" s="42" t="s">
        <v>48</v>
      </c>
    </row>
    <row r="17">
      <c r="C17" s="4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N2:O2"/>
    <mergeCell ref="P2:Q2"/>
    <mergeCell ref="R2:R3"/>
    <mergeCell ref="S2:S3"/>
    <mergeCell ref="T2:T3"/>
    <mergeCell ref="U2:U3"/>
    <mergeCell ref="V2:V3"/>
    <mergeCell ref="W2:W3"/>
    <mergeCell ref="C15:G15"/>
    <mergeCell ref="C16:G16"/>
    <mergeCell ref="H1:Q1"/>
    <mergeCell ref="R1:W1"/>
    <mergeCell ref="C2:D2"/>
    <mergeCell ref="E2:F2"/>
    <mergeCell ref="H2:I2"/>
    <mergeCell ref="J2:K2"/>
    <mergeCell ref="L2:M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43"/>
    <col customWidth="1" min="3" max="3" width="12.57"/>
    <col customWidth="1" min="4" max="4" width="18.71"/>
    <col customWidth="1" min="5" max="13" width="8.0"/>
    <col customWidth="1" min="14" max="14" width="75.29"/>
    <col customWidth="1" min="15" max="26" width="8.0"/>
  </cols>
  <sheetData>
    <row r="3">
      <c r="M3" s="6" t="s">
        <v>6</v>
      </c>
      <c r="N3" s="7"/>
      <c r="O3" s="8"/>
    </row>
    <row r="4">
      <c r="M4" s="9" t="s">
        <v>7</v>
      </c>
      <c r="N4" s="9" t="s">
        <v>8</v>
      </c>
      <c r="O4" s="10">
        <v>8.0</v>
      </c>
    </row>
    <row r="5">
      <c r="M5" s="9" t="s">
        <v>9</v>
      </c>
      <c r="N5" s="9" t="s">
        <v>10</v>
      </c>
      <c r="O5" s="10">
        <v>8.0</v>
      </c>
    </row>
    <row r="6">
      <c r="M6" s="9" t="s">
        <v>11</v>
      </c>
      <c r="N6" s="9" t="s">
        <v>12</v>
      </c>
      <c r="O6" s="10">
        <v>8.0</v>
      </c>
    </row>
    <row r="9">
      <c r="M9" s="6" t="s">
        <v>13</v>
      </c>
      <c r="N9" s="8"/>
    </row>
    <row r="10">
      <c r="M10" s="9">
        <v>1.0</v>
      </c>
      <c r="N10" s="10" t="s">
        <v>50</v>
      </c>
    </row>
    <row r="11">
      <c r="M11" s="9">
        <v>2.0</v>
      </c>
      <c r="N11" s="10" t="s">
        <v>51</v>
      </c>
    </row>
    <row r="12">
      <c r="M12" s="9">
        <v>3.0</v>
      </c>
      <c r="N12" s="10" t="s">
        <v>52</v>
      </c>
    </row>
    <row r="13">
      <c r="M13" s="9">
        <v>4.0</v>
      </c>
      <c r="N13" s="10" t="s">
        <v>53</v>
      </c>
    </row>
    <row r="14">
      <c r="M14" s="9">
        <v>5.0</v>
      </c>
      <c r="N14" s="10" t="s">
        <v>54</v>
      </c>
    </row>
    <row r="15">
      <c r="M15" s="9">
        <v>6.0</v>
      </c>
      <c r="N15" s="10" t="s">
        <v>55</v>
      </c>
    </row>
    <row r="16">
      <c r="M16" s="10">
        <v>7.0</v>
      </c>
      <c r="N16" s="10" t="s">
        <v>56</v>
      </c>
    </row>
    <row r="17">
      <c r="M17" s="9"/>
      <c r="N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M3:O3"/>
    <mergeCell ref="M9:N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49.0"/>
    <col customWidth="1" min="4" max="4" width="29.29"/>
    <col customWidth="1" min="5" max="5" width="14.71"/>
    <col customWidth="1" min="6" max="6" width="53.0"/>
    <col customWidth="1" min="7" max="13" width="3.71"/>
    <col customWidth="1" min="14" max="14" width="3.29"/>
    <col customWidth="1" min="15" max="19" width="3.71"/>
    <col customWidth="1" min="20" max="20" width="5.0"/>
    <col customWidth="1" min="21" max="33" width="3.71"/>
    <col customWidth="1" min="34" max="34" width="4.71"/>
  </cols>
  <sheetData>
    <row r="1" ht="15.75" customHeight="1">
      <c r="G1" s="11" t="s">
        <v>18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14" t="s">
        <v>19</v>
      </c>
      <c r="V1" s="12"/>
      <c r="W1" s="12"/>
      <c r="X1" s="12"/>
      <c r="Y1" s="12"/>
      <c r="Z1" s="12"/>
      <c r="AA1" s="13"/>
      <c r="AB1" s="15" t="s">
        <v>20</v>
      </c>
      <c r="AC1" s="15"/>
      <c r="AD1" s="15"/>
      <c r="AE1" s="15"/>
      <c r="AF1" s="15"/>
      <c r="AG1" s="15"/>
      <c r="AH1" s="15"/>
    </row>
    <row r="2">
      <c r="B2" s="16"/>
      <c r="C2" s="44" t="s">
        <v>21</v>
      </c>
      <c r="D2" s="19" t="s">
        <v>22</v>
      </c>
      <c r="E2" s="20"/>
      <c r="F2" s="21" t="s">
        <v>0</v>
      </c>
      <c r="G2" s="22">
        <v>1.0</v>
      </c>
      <c r="H2" s="13"/>
      <c r="I2" s="22">
        <v>4.0</v>
      </c>
      <c r="J2" s="13"/>
      <c r="K2" s="22">
        <v>7.0</v>
      </c>
      <c r="L2" s="13"/>
      <c r="M2" s="22">
        <v>8.0</v>
      </c>
      <c r="N2" s="13"/>
      <c r="O2" s="22">
        <v>9.0</v>
      </c>
      <c r="P2" s="13"/>
      <c r="Q2" s="22">
        <v>11.0</v>
      </c>
      <c r="R2" s="13"/>
      <c r="S2" s="22">
        <v>12.0</v>
      </c>
      <c r="T2" s="13"/>
      <c r="U2" s="23">
        <v>1.0</v>
      </c>
      <c r="V2" s="23">
        <v>2.0</v>
      </c>
      <c r="W2" s="23">
        <v>3.0</v>
      </c>
      <c r="X2" s="23">
        <v>4.0</v>
      </c>
      <c r="Y2" s="23">
        <v>5.0</v>
      </c>
      <c r="Z2" s="45">
        <v>6.0</v>
      </c>
      <c r="AA2" s="45">
        <v>7.0</v>
      </c>
      <c r="AB2" s="15"/>
      <c r="AC2" s="15"/>
      <c r="AD2" s="15"/>
      <c r="AE2" s="15"/>
      <c r="AF2" s="15"/>
      <c r="AG2" s="15"/>
      <c r="AH2" s="15"/>
    </row>
    <row r="3">
      <c r="B3" s="24" t="s">
        <v>23</v>
      </c>
      <c r="C3" s="10" t="s">
        <v>57</v>
      </c>
      <c r="D3" s="9" t="s">
        <v>26</v>
      </c>
      <c r="E3" s="25" t="s">
        <v>27</v>
      </c>
      <c r="F3" s="26" t="s">
        <v>28</v>
      </c>
      <c r="G3" s="27" t="s">
        <v>29</v>
      </c>
      <c r="H3" s="27" t="s">
        <v>30</v>
      </c>
      <c r="I3" s="27" t="s">
        <v>29</v>
      </c>
      <c r="J3" s="27" t="s">
        <v>30</v>
      </c>
      <c r="K3" s="27" t="s">
        <v>29</v>
      </c>
      <c r="L3" s="27" t="s">
        <v>30</v>
      </c>
      <c r="M3" s="27" t="s">
        <v>29</v>
      </c>
      <c r="N3" s="27" t="s">
        <v>30</v>
      </c>
      <c r="O3" s="33" t="s">
        <v>29</v>
      </c>
      <c r="P3" s="33" t="s">
        <v>30</v>
      </c>
      <c r="Q3" s="33" t="s">
        <v>29</v>
      </c>
      <c r="R3" s="33" t="s">
        <v>30</v>
      </c>
      <c r="S3" s="27" t="s">
        <v>29</v>
      </c>
      <c r="T3" s="27" t="s">
        <v>30</v>
      </c>
      <c r="U3" s="28"/>
      <c r="V3" s="28"/>
      <c r="W3" s="28"/>
      <c r="X3" s="28"/>
      <c r="Y3" s="28"/>
      <c r="Z3" s="28"/>
      <c r="AA3" s="28"/>
      <c r="AB3" s="15" t="s">
        <v>31</v>
      </c>
      <c r="AC3" s="15">
        <v>1.0</v>
      </c>
      <c r="AD3" s="15">
        <v>2.0</v>
      </c>
      <c r="AE3" s="15" t="s">
        <v>32</v>
      </c>
      <c r="AF3" s="15" t="s">
        <v>33</v>
      </c>
      <c r="AG3" s="15" t="s">
        <v>34</v>
      </c>
      <c r="AH3" s="15" t="s">
        <v>35</v>
      </c>
    </row>
    <row r="4" ht="15.75" customHeight="1">
      <c r="B4" s="29">
        <v>1.0</v>
      </c>
      <c r="C4" s="30" t="s">
        <v>58</v>
      </c>
      <c r="D4" s="30" t="s">
        <v>59</v>
      </c>
      <c r="E4" s="31" t="s">
        <v>60</v>
      </c>
      <c r="F4" s="32" t="s">
        <v>61</v>
      </c>
      <c r="G4" s="33" t="s">
        <v>39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34" t="s">
        <v>39</v>
      </c>
      <c r="V4" s="35"/>
      <c r="W4" s="35"/>
      <c r="X4" s="35"/>
      <c r="Y4" s="35"/>
      <c r="Z4" s="35"/>
      <c r="AA4" s="35"/>
      <c r="AB4" s="36" t="s">
        <v>39</v>
      </c>
      <c r="AC4" s="15"/>
      <c r="AD4" s="15"/>
      <c r="AE4" s="15"/>
      <c r="AF4" s="15"/>
      <c r="AG4" s="15"/>
      <c r="AH4" s="15"/>
    </row>
    <row r="5" ht="15.75" customHeight="1">
      <c r="B5" s="29">
        <v>2.0</v>
      </c>
      <c r="C5" s="30" t="s">
        <v>62</v>
      </c>
      <c r="D5" s="30" t="s">
        <v>63</v>
      </c>
      <c r="E5" s="31" t="s">
        <v>60</v>
      </c>
      <c r="F5" s="32" t="s">
        <v>64</v>
      </c>
      <c r="G5" s="37"/>
      <c r="H5" s="33" t="s">
        <v>39</v>
      </c>
      <c r="I5" s="27"/>
      <c r="J5" s="33" t="s">
        <v>39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35"/>
      <c r="V5" s="34" t="s">
        <v>39</v>
      </c>
      <c r="W5" s="35"/>
      <c r="X5" s="35"/>
      <c r="Y5" s="35"/>
      <c r="Z5" s="35"/>
      <c r="AA5" s="35"/>
      <c r="AB5" s="36" t="s">
        <v>39</v>
      </c>
      <c r="AC5" s="36"/>
      <c r="AD5" s="15"/>
      <c r="AE5" s="15"/>
      <c r="AF5" s="15"/>
      <c r="AG5" s="15"/>
      <c r="AH5" s="15"/>
    </row>
    <row r="6" ht="15.75" customHeight="1">
      <c r="B6" s="29">
        <v>3.0</v>
      </c>
      <c r="C6" s="30" t="s">
        <v>65</v>
      </c>
      <c r="D6" s="30" t="s">
        <v>66</v>
      </c>
      <c r="E6" s="31" t="s">
        <v>60</v>
      </c>
      <c r="F6" s="32" t="s">
        <v>67</v>
      </c>
      <c r="G6" s="27"/>
      <c r="H6" s="33" t="s">
        <v>39</v>
      </c>
      <c r="I6" s="33" t="s">
        <v>39</v>
      </c>
      <c r="J6" s="27"/>
      <c r="K6" s="33" t="s">
        <v>39</v>
      </c>
      <c r="L6" s="27"/>
      <c r="M6" s="33" t="s">
        <v>39</v>
      </c>
      <c r="N6" s="27"/>
      <c r="O6" s="27"/>
      <c r="P6" s="27"/>
      <c r="Q6" s="27"/>
      <c r="R6" s="27"/>
      <c r="S6" s="27"/>
      <c r="T6" s="27"/>
      <c r="U6" s="35"/>
      <c r="V6" s="35"/>
      <c r="W6" s="34" t="s">
        <v>39</v>
      </c>
      <c r="X6" s="35"/>
      <c r="Y6" s="35"/>
      <c r="Z6" s="35"/>
      <c r="AA6" s="35"/>
      <c r="AB6" s="15"/>
      <c r="AC6" s="36"/>
      <c r="AD6" s="36" t="s">
        <v>39</v>
      </c>
      <c r="AE6" s="15"/>
      <c r="AF6" s="15"/>
      <c r="AG6" s="15"/>
      <c r="AH6" s="15"/>
    </row>
    <row r="7" ht="15.75" customHeight="1">
      <c r="B7" s="29">
        <v>4.0</v>
      </c>
      <c r="C7" s="30" t="s">
        <v>68</v>
      </c>
      <c r="D7" s="30" t="s">
        <v>66</v>
      </c>
      <c r="E7" s="31" t="s">
        <v>60</v>
      </c>
      <c r="F7" s="32" t="s">
        <v>69</v>
      </c>
      <c r="G7" s="27"/>
      <c r="H7" s="33" t="s">
        <v>39</v>
      </c>
      <c r="I7" s="33" t="s">
        <v>39</v>
      </c>
      <c r="J7" s="27"/>
      <c r="K7" s="33" t="s">
        <v>39</v>
      </c>
      <c r="L7" s="27"/>
      <c r="M7" s="27"/>
      <c r="N7" s="33" t="s">
        <v>39</v>
      </c>
      <c r="O7" s="33" t="s">
        <v>39</v>
      </c>
      <c r="P7" s="27"/>
      <c r="Q7" s="27"/>
      <c r="R7" s="27"/>
      <c r="S7" s="27"/>
      <c r="T7" s="27"/>
      <c r="U7" s="35"/>
      <c r="V7" s="35"/>
      <c r="W7" s="35"/>
      <c r="X7" s="34" t="s">
        <v>39</v>
      </c>
      <c r="Y7" s="35"/>
      <c r="Z7" s="35"/>
      <c r="AA7" s="35"/>
      <c r="AB7" s="15"/>
      <c r="AC7" s="36"/>
      <c r="AD7" s="36" t="s">
        <v>39</v>
      </c>
      <c r="AE7" s="15"/>
      <c r="AF7" s="15"/>
      <c r="AG7" s="15"/>
      <c r="AH7" s="15"/>
    </row>
    <row r="8" ht="15.75" customHeight="1">
      <c r="B8" s="29">
        <v>5.0</v>
      </c>
      <c r="C8" s="30" t="s">
        <v>70</v>
      </c>
      <c r="D8" s="30" t="s">
        <v>71</v>
      </c>
      <c r="E8" s="31" t="s">
        <v>60</v>
      </c>
      <c r="F8" s="32" t="s">
        <v>72</v>
      </c>
      <c r="G8" s="27"/>
      <c r="H8" s="33" t="s">
        <v>39</v>
      </c>
      <c r="I8" s="33" t="s">
        <v>39</v>
      </c>
      <c r="J8" s="27"/>
      <c r="K8" s="33" t="s">
        <v>39</v>
      </c>
      <c r="L8" s="27"/>
      <c r="M8" s="27"/>
      <c r="N8" s="33" t="s">
        <v>39</v>
      </c>
      <c r="O8" s="27"/>
      <c r="P8" s="33" t="s">
        <v>39</v>
      </c>
      <c r="Q8" s="33" t="s">
        <v>39</v>
      </c>
      <c r="R8" s="27"/>
      <c r="S8" s="27"/>
      <c r="T8" s="27"/>
      <c r="U8" s="35"/>
      <c r="V8" s="35"/>
      <c r="W8" s="35"/>
      <c r="X8" s="35"/>
      <c r="Y8" s="34" t="s">
        <v>39</v>
      </c>
      <c r="Z8" s="35"/>
      <c r="AA8" s="35"/>
      <c r="AB8" s="15"/>
      <c r="AC8" s="15"/>
      <c r="AD8" s="36" t="s">
        <v>39</v>
      </c>
      <c r="AE8" s="15"/>
      <c r="AF8" s="15"/>
      <c r="AG8" s="15"/>
      <c r="AH8" s="15"/>
    </row>
    <row r="9" ht="15.75" customHeight="1">
      <c r="B9" s="29">
        <v>6.0</v>
      </c>
      <c r="C9" s="30" t="s">
        <v>73</v>
      </c>
      <c r="D9" s="30" t="s">
        <v>74</v>
      </c>
      <c r="E9" s="31" t="s">
        <v>60</v>
      </c>
      <c r="F9" s="32" t="s">
        <v>75</v>
      </c>
      <c r="G9" s="27"/>
      <c r="H9" s="33" t="s">
        <v>39</v>
      </c>
      <c r="I9" s="33" t="s">
        <v>39</v>
      </c>
      <c r="J9" s="27"/>
      <c r="K9" s="33" t="s">
        <v>39</v>
      </c>
      <c r="L9" s="27"/>
      <c r="M9" s="27"/>
      <c r="N9" s="33" t="s">
        <v>39</v>
      </c>
      <c r="O9" s="27"/>
      <c r="P9" s="33" t="s">
        <v>39</v>
      </c>
      <c r="Q9" s="27"/>
      <c r="R9" s="33" t="s">
        <v>39</v>
      </c>
      <c r="S9" s="33" t="s">
        <v>39</v>
      </c>
      <c r="T9" s="33" t="s">
        <v>39</v>
      </c>
      <c r="U9" s="35"/>
      <c r="V9" s="35"/>
      <c r="W9" s="35"/>
      <c r="X9" s="35"/>
      <c r="Y9" s="35"/>
      <c r="Z9" s="34" t="s">
        <v>39</v>
      </c>
      <c r="AA9" s="34" t="s">
        <v>39</v>
      </c>
      <c r="AB9" s="15"/>
      <c r="AC9" s="15"/>
      <c r="AD9" s="15"/>
      <c r="AE9" s="15"/>
      <c r="AF9" s="36" t="s">
        <v>39</v>
      </c>
      <c r="AG9" s="15"/>
      <c r="AH9" s="15"/>
    </row>
    <row r="11">
      <c r="B11" s="41" t="s">
        <v>46</v>
      </c>
    </row>
    <row r="15">
      <c r="C15" s="42" t="s">
        <v>47</v>
      </c>
    </row>
    <row r="16">
      <c r="C16" s="42" t="s">
        <v>48</v>
      </c>
    </row>
    <row r="17">
      <c r="C17" s="4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2:E2"/>
    <mergeCell ref="G2:H2"/>
    <mergeCell ref="I2:J2"/>
    <mergeCell ref="K2:L2"/>
    <mergeCell ref="G1:T1"/>
    <mergeCell ref="O2:P2"/>
    <mergeCell ref="U1:AA1"/>
    <mergeCell ref="C15:F15"/>
    <mergeCell ref="C16:F16"/>
    <mergeCell ref="S2:T2"/>
    <mergeCell ref="Q2:R2"/>
    <mergeCell ref="M2:N2"/>
    <mergeCell ref="U2:U3"/>
    <mergeCell ref="V2:V3"/>
    <mergeCell ref="W2:W3"/>
    <mergeCell ref="X2:X3"/>
    <mergeCell ref="Y2:Y3"/>
    <mergeCell ref="AA2:AA3"/>
    <mergeCell ref="Z2:Z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0"/>
    <col customWidth="1" min="13" max="13" width="12.14"/>
    <col customWidth="1" min="14" max="26" width="8.0"/>
  </cols>
  <sheetData>
    <row r="3" ht="15.75" customHeight="1"/>
    <row r="4" ht="16.5" customHeight="1">
      <c r="C4" s="46" t="s">
        <v>76</v>
      </c>
      <c r="D4" s="47"/>
      <c r="E4" s="47"/>
      <c r="F4" s="47"/>
      <c r="G4" s="48"/>
      <c r="H4" s="49" t="s">
        <v>77</v>
      </c>
      <c r="I4" s="50" t="s">
        <v>78</v>
      </c>
      <c r="J4" s="51"/>
      <c r="K4" s="51"/>
      <c r="L4" s="52"/>
      <c r="M4" s="53"/>
    </row>
    <row r="5" ht="16.5" customHeight="1">
      <c r="B5" s="54" t="s">
        <v>79</v>
      </c>
      <c r="C5" s="55" t="s">
        <v>80</v>
      </c>
      <c r="D5" s="56" t="s">
        <v>81</v>
      </c>
      <c r="E5" s="56" t="s">
        <v>82</v>
      </c>
      <c r="F5" s="56" t="s">
        <v>83</v>
      </c>
      <c r="G5" s="57" t="s">
        <v>84</v>
      </c>
      <c r="H5" s="58" t="s">
        <v>85</v>
      </c>
      <c r="I5" s="59" t="s">
        <v>86</v>
      </c>
      <c r="J5" s="60" t="s">
        <v>80</v>
      </c>
      <c r="K5" s="60" t="s">
        <v>87</v>
      </c>
      <c r="L5" s="60" t="s">
        <v>88</v>
      </c>
      <c r="M5" s="61" t="s">
        <v>83</v>
      </c>
    </row>
    <row r="6" ht="16.5" customHeight="1">
      <c r="B6" s="62"/>
      <c r="C6" s="63"/>
      <c r="D6" s="64"/>
      <c r="E6" s="64"/>
      <c r="F6" s="64"/>
      <c r="G6" s="65"/>
      <c r="H6" s="66"/>
      <c r="I6" s="67"/>
      <c r="J6" s="67"/>
      <c r="K6" s="67"/>
      <c r="L6" s="67"/>
      <c r="M6" s="67"/>
    </row>
    <row r="7" ht="16.5" customHeight="1">
      <c r="B7" s="68" t="s">
        <v>89</v>
      </c>
      <c r="C7" s="69">
        <f>SUM(D7:E7)</f>
        <v>0</v>
      </c>
      <c r="D7" s="9"/>
      <c r="E7" s="9"/>
      <c r="F7" s="70"/>
      <c r="G7" s="71"/>
      <c r="H7" s="72" t="s">
        <v>31</v>
      </c>
      <c r="I7" s="53" t="s">
        <v>90</v>
      </c>
      <c r="J7" s="53">
        <f>SUM(K7:L7)</f>
        <v>0</v>
      </c>
      <c r="K7" s="53"/>
      <c r="L7" s="53"/>
      <c r="M7" s="53"/>
    </row>
    <row r="8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5:G6"/>
    <mergeCell ref="H5:H6"/>
    <mergeCell ref="I5:I6"/>
    <mergeCell ref="J5:J6"/>
    <mergeCell ref="K5:K6"/>
    <mergeCell ref="L5:L6"/>
    <mergeCell ref="M5:M6"/>
    <mergeCell ref="C4:G4"/>
    <mergeCell ref="I4:L4"/>
    <mergeCell ref="B5:B6"/>
    <mergeCell ref="C5:C6"/>
    <mergeCell ref="D5:D6"/>
    <mergeCell ref="E5:E6"/>
    <mergeCell ref="F5:F6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2015-03-04T21:03:16Z</dcterms:created>
  <dc:creator>Andreea</dc:creator>
</cp:coreProperties>
</file>