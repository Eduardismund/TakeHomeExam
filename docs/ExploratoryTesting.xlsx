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heet38" sheetId="2" r:id="rId5"/>
  </sheets>
  <definedNames/>
  <calcPr/>
</workbook>
</file>

<file path=xl/sharedStrings.xml><?xml version="1.0" encoding="utf-8"?>
<sst xmlns="http://schemas.openxmlformats.org/spreadsheetml/2006/main" count="128" uniqueCount="91">
  <si>
    <t>Last refreshed: Sat May 30 2026 22:56:17 GMT+0300 (Ora de vară a Europei de Est).</t>
  </si>
  <si>
    <t>Exploratory Testing Summary Report</t>
  </si>
  <si>
    <t>Overall Summary</t>
  </si>
  <si>
    <t>Total Sessions</t>
  </si>
  <si>
    <t>How to use:</t>
  </si>
  <si>
    <t>Total Time (hours)</t>
  </si>
  <si>
    <t>Create a new sheet</t>
  </si>
  <si>
    <t>Total Bugs</t>
  </si>
  <si>
    <t>Click SBTM Session &gt; Start Session</t>
  </si>
  <si>
    <t>When finished, click SBTM Session &gt; Finish Session. Make sure you have an entry just before clicking Finish, so that the calculations can get your last timestamp</t>
  </si>
  <si>
    <t>Time on Test (hours)</t>
  </si>
  <si>
    <t>To add your session in the summary,
- delete content of one of the tables: B20:F20 onward  (because of a bug)
- under sheet "Summary" &gt; Areas click SBTM Report &gt; Refresh Data</t>
  </si>
  <si>
    <t>Time on Setup (hours)</t>
  </si>
  <si>
    <t>Time on Bugs (hours)</t>
  </si>
  <si>
    <t>Time Off Charter (hours)</t>
  </si>
  <si>
    <t>Total Questions</t>
  </si>
  <si>
    <t>Total Next Time Ideas</t>
  </si>
  <si>
    <t>Total Bugs OffCharter</t>
  </si>
  <si>
    <t>Area</t>
  </si>
  <si>
    <t>Sessions</t>
  </si>
  <si>
    <t>Total Time
 (hours)</t>
  </si>
  <si>
    <t>Number 
of bugs</t>
  </si>
  <si>
    <t>Number 
of bugs offcharter</t>
  </si>
  <si>
    <t>All Charters:</t>
  </si>
  <si>
    <t>Reporter</t>
  </si>
  <si>
    <t>Date</t>
  </si>
  <si>
    <t>Session Time (hours)</t>
  </si>
  <si>
    <t>Bugs</t>
  </si>
  <si>
    <t>Bugs OffCharter</t>
  </si>
  <si>
    <t>APPLICATION</t>
  </si>
  <si>
    <t>BudgetManagement</t>
  </si>
  <si>
    <t>bianca.georgiana.cirnu@gmail.com</t>
  </si>
  <si>
    <t>Session end.Duration</t>
  </si>
  <si>
    <t>Tags (time):</t>
  </si>
  <si>
    <t>Test</t>
  </si>
  <si>
    <t>Number of bugs</t>
  </si>
  <si>
    <t>Bug</t>
  </si>
  <si>
    <t>Number of bugs offcharter</t>
  </si>
  <si>
    <t>Setup</t>
  </si>
  <si>
    <t>Time on Test (mins)</t>
  </si>
  <si>
    <t>OffCharter</t>
  </si>
  <si>
    <t>Time on Setup (mins)</t>
  </si>
  <si>
    <t>Tags (no time):</t>
  </si>
  <si>
    <t>Note</t>
  </si>
  <si>
    <t>Time on Bugs (mins)</t>
  </si>
  <si>
    <t>Question</t>
  </si>
  <si>
    <t>Time Off Charter (mins)</t>
  </si>
  <si>
    <t>NextTime</t>
  </si>
  <si>
    <t>Number of questions</t>
  </si>
  <si>
    <t>Data</t>
  </si>
  <si>
    <t>Number of ideas for next time</t>
  </si>
  <si>
    <t>Bug OffCharter</t>
  </si>
  <si>
    <t>Session Tester</t>
  </si>
  <si>
    <t>Session Charter</t>
  </si>
  <si>
    <t>Planned session time (mins)</t>
  </si>
  <si>
    <t>Environment Info</t>
  </si>
  <si>
    <t>Local env</t>
  </si>
  <si>
    <t>Application</t>
  </si>
  <si>
    <t>Current Active Tag</t>
  </si>
  <si>
    <t>Time remaining (mins):</t>
  </si>
  <si>
    <t>Session start</t>
  </si>
  <si>
    <t>SESSION ENDED!</t>
  </si>
  <si>
    <t>Add a valid member</t>
  </si>
  <si>
    <t>Member added successfully</t>
  </si>
  <si>
    <t>Add member with empty name</t>
  </si>
  <si>
    <t>Error pop-up appeared</t>
  </si>
  <si>
    <t>Add member with negative income</t>
  </si>
  <si>
    <t>Add member with income = 0</t>
  </si>
  <si>
    <t>Accepted, the dog has no income :)</t>
  </si>
  <si>
    <t>Update a member</t>
  </si>
  <si>
    <t>The dog become a daughter :)</t>
  </si>
  <si>
    <t>Delete a member that has transactions</t>
  </si>
  <si>
    <t>Member and its transactions removed successfully</t>
  </si>
  <si>
    <t>Try to press update/delete buttons without selecting a row</t>
  </si>
  <si>
    <t>Info pop-up appears, suggesting a row should be selected</t>
  </si>
  <si>
    <t>Add expense and income categories</t>
  </si>
  <si>
    <t>Categories added successfully</t>
  </si>
  <si>
    <t>Delete categories that have transactions</t>
  </si>
  <si>
    <t xml:space="preserve">Error appears - transactions should have categories </t>
  </si>
  <si>
    <t xml:space="preserve">Update a category from income/expense and check it changed in transactions </t>
  </si>
  <si>
    <t>Value changed in transactions accordingly</t>
  </si>
  <si>
    <t>Add transactions with invalid data</t>
  </si>
  <si>
    <t xml:space="preserve">Error messages appeared </t>
  </si>
  <si>
    <t>Close the app and restart it, to check persistency</t>
  </si>
  <si>
    <t>Everything got saved</t>
  </si>
  <si>
    <t>Check the report to calculate balance as income-expenses</t>
  </si>
  <si>
    <t>Balance is calculated correspondingly</t>
  </si>
  <si>
    <t>Generate reports</t>
  </si>
  <si>
    <t>All the generated reports had the correct data</t>
  </si>
  <si>
    <t>Try to add transactions when there are no members</t>
  </si>
  <si>
    <t>No errors occur, the dropdown is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</si>
</sst>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8">
    <font>
      <sz val="10.0"/>
      <color rgb="FF000000"/>
      <name val="Arial"/>
    </font>
    <font/>
    <font>
      <sz val="14.0"/>
    </font>
    <font>
      <b/>
      <sz val="10.0"/>
    </font>
    <font>
      <sz val="18.0"/>
    </font>
    <font>
      <b/>
    </font>
    <font>
      <color rgb="FF808080"/>
    </font>
    <font>
      <name val="&quot;Segoe WPC&quot;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horizontal="right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horizontal="right" shrinkToFit="0" wrapText="1"/>
    </xf>
    <xf borderId="0" fillId="0" fontId="4" numFmtId="0" xfId="0" applyAlignment="1" applyFont="1">
      <alignment readingOrder="0" shrinkToFit="0" vertical="top" wrapText="1"/>
    </xf>
    <xf borderId="3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right"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14" xfId="0" applyAlignment="1" applyBorder="1" applyFont="1" applyNumberFormat="1">
      <alignment horizontal="right" readingOrder="0" shrinkToFit="0" wrapText="1"/>
    </xf>
    <xf borderId="0" fillId="0" fontId="1" numFmtId="14" xfId="0" applyAlignment="1" applyFont="1" applyNumberFormat="1">
      <alignment horizontal="right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3" fontId="6" numFmtId="14" xfId="0" applyAlignment="1" applyFont="1" applyNumberForma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1" xfId="0" applyAlignment="1" applyFont="1" applyNumberFormat="1">
      <alignment readingOrder="0" shrinkToFit="0" wrapText="1"/>
    </xf>
    <xf borderId="0" fillId="0" fontId="6" numFmtId="1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3" fontId="6" numFmtId="164" xfId="0" applyAlignment="1" applyFont="1" applyNumberForma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3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Test/Bugs/Setup/OffCharter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EC24F"/>
              </a:solidFill>
            </c:spPr>
          </c:dPt>
          <c:dPt>
            <c:idx val="1"/>
            <c:spPr>
              <a:solidFill>
                <a:srgbClr val="4082FA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spPr>
              <a:solidFill>
                <a:srgbClr val="FFE97A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Summary!$B$8:$B$11</c:f>
            </c:strRef>
          </c:cat>
          <c:val>
            <c:numRef>
              <c:f>Summary!$C$8:$C$11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100">
              <a:solidFill>
                <a:srgbClr val="222222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Testing Summary by Area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Summary!$C$19</c:f>
            </c:strRef>
          </c:tx>
          <c:spPr>
            <a:solidFill>
              <a:srgbClr val="4082FA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Summary!$B$20:$B$47</c:f>
            </c:strRef>
          </c:cat>
          <c:val>
            <c:numRef>
              <c:f>Summary!$C$20:$C$47</c:f>
              <c:numCache/>
            </c:numRef>
          </c:val>
        </c:ser>
        <c:ser>
          <c:idx val="1"/>
          <c:order val="1"/>
          <c:tx>
            <c:strRef>
              <c:f>Summary!$D$19</c:f>
            </c:strRef>
          </c:tx>
          <c:spPr>
            <a:solidFill>
              <a:srgbClr val="4EC24F"/>
            </a:solidFill>
            <a:ln cmpd="sng">
              <a:solidFill>
                <a:srgbClr val="000000"/>
              </a:solidFill>
            </a:ln>
          </c:spPr>
          <c:cat>
            <c:strRef>
              <c:f>Summary!$B$20:$B$47</c:f>
            </c:strRef>
          </c:cat>
          <c:val>
            <c:numRef>
              <c:f>Summary!$D$20:$D$47</c:f>
              <c:numCache/>
            </c:numRef>
          </c:val>
        </c:ser>
        <c:ser>
          <c:idx val="2"/>
          <c:order val="2"/>
          <c:tx>
            <c:strRef>
              <c:f>Summary!$E$19</c:f>
            </c:strRef>
          </c:tx>
          <c:spPr>
            <a:solidFill>
              <a:srgbClr val="EB0000"/>
            </a:solidFill>
            <a:ln cmpd="sng">
              <a:solidFill>
                <a:srgbClr val="000000"/>
              </a:solidFill>
            </a:ln>
          </c:spPr>
          <c:cat>
            <c:strRef>
              <c:f>Summary!$B$20:$B$47</c:f>
            </c:strRef>
          </c:cat>
          <c:val>
            <c:numRef>
              <c:f>Summary!$E$20:$E$47</c:f>
              <c:numCache/>
            </c:numRef>
          </c:val>
        </c:ser>
        <c:ser>
          <c:idx val="3"/>
          <c:order val="3"/>
          <c:tx>
            <c:strRef>
              <c:f>Summary!$F$19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Summary!$B$20:$B$47</c:f>
            </c:strRef>
          </c:cat>
          <c:val>
            <c:numRef>
              <c:f>Summary!$F$20:$F$83</c:f>
              <c:numCache/>
            </c:numRef>
          </c:val>
        </c:ser>
        <c:axId val="1815251467"/>
        <c:axId val="147925857"/>
      </c:barChart>
      <c:catAx>
        <c:axId val="1815251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800">
                <a:solidFill>
                  <a:srgbClr val="222222"/>
                </a:solidFill>
                <a:latin typeface="Roboto"/>
              </a:defRPr>
            </a:pPr>
          </a:p>
        </c:txPr>
        <c:crossAx val="147925857"/>
      </c:catAx>
      <c:valAx>
        <c:axId val="147925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5251467"/>
      </c:valAx>
    </c:plotArea>
    <c:legend>
      <c:legendPos val="r"/>
      <c:overlay val="0"/>
      <c:txPr>
        <a:bodyPr/>
        <a:lstStyle/>
        <a:p>
          <a:pPr lvl="0">
            <a:defRPr b="0" sz="1100">
              <a:solidFill>
                <a:srgbClr val="222222"/>
              </a:solidFill>
              <a:latin typeface="Roboto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1866900</xdr:colOff>
      <xdr:row>1</xdr:row>
      <xdr:rowOff>590550</xdr:rowOff>
    </xdr:from>
    <xdr:ext cx="4848225" cy="3181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228600</xdr:colOff>
      <xdr:row>1</xdr:row>
      <xdr:rowOff>590550</xdr:rowOff>
    </xdr:from>
    <xdr:ext cx="6686550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25"/>
    <col customWidth="1" min="2" max="2" width="18.88"/>
    <col customWidth="1" min="3" max="3" width="8.38"/>
    <col customWidth="1" min="4" max="4" width="9.5"/>
    <col customWidth="1" min="5" max="5" width="8.0"/>
    <col customWidth="1" min="6" max="6" width="15.5"/>
    <col customWidth="1" min="7" max="7" width="3.63"/>
    <col customWidth="1" min="8" max="8" width="34.25"/>
    <col customWidth="1" min="9" max="9" width="24.13"/>
    <col customWidth="1" min="10" max="10" width="17.88"/>
    <col customWidth="1" min="11" max="11" width="12.0"/>
    <col customWidth="1" min="12" max="12" width="11.13"/>
    <col customWidth="1" min="13" max="13" width="8.88"/>
    <col customWidth="1" min="14" max="14" width="12.0"/>
    <col customWidth="1" min="15" max="15" width="3.25"/>
    <col customWidth="1" min="16" max="16" width="95.5"/>
    <col customWidth="1" min="17" max="20" width="15.13"/>
  </cols>
  <sheetData>
    <row r="1" ht="16.5" customHeight="1">
      <c r="A1" s="1" t="s">
        <v>0</v>
      </c>
      <c r="K1" s="2"/>
    </row>
    <row r="2" ht="48.75" customHeight="1"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5"/>
    </row>
    <row r="3" ht="16.5" customHeight="1">
      <c r="B3" s="6" t="s">
        <v>2</v>
      </c>
      <c r="C3" s="7"/>
      <c r="D3" s="8"/>
      <c r="E3" s="9"/>
      <c r="F3" s="9"/>
      <c r="G3" s="9"/>
      <c r="H3" s="9"/>
      <c r="I3" s="9"/>
      <c r="J3" s="9"/>
      <c r="K3" s="10"/>
      <c r="M3" s="11"/>
    </row>
    <row r="4">
      <c r="B4" s="12" t="s">
        <v>3</v>
      </c>
      <c r="C4" s="12">
        <v>1.0</v>
      </c>
      <c r="K4" s="2"/>
      <c r="M4" s="13"/>
      <c r="N4" s="13"/>
      <c r="O4" s="14" t="s">
        <v>4</v>
      </c>
      <c r="Q4" s="13"/>
      <c r="R4" s="13"/>
    </row>
    <row r="5">
      <c r="B5" s="15" t="s">
        <v>5</v>
      </c>
      <c r="C5" s="15">
        <v>0.7</v>
      </c>
      <c r="K5" s="2"/>
      <c r="O5" s="16">
        <v>1.0</v>
      </c>
      <c r="P5" s="16" t="s">
        <v>6</v>
      </c>
      <c r="Q5" s="13"/>
      <c r="R5" s="13"/>
    </row>
    <row r="6">
      <c r="B6" s="15" t="s">
        <v>7</v>
      </c>
      <c r="C6" s="15">
        <v>0.0</v>
      </c>
      <c r="K6" s="2"/>
      <c r="O6" s="16">
        <v>2.0</v>
      </c>
      <c r="P6" s="16" t="s">
        <v>8</v>
      </c>
      <c r="Q6" s="13"/>
      <c r="R6" s="13"/>
    </row>
    <row r="7">
      <c r="K7" s="2"/>
      <c r="O7" s="16">
        <v>3.0</v>
      </c>
      <c r="P7" s="16" t="s">
        <v>9</v>
      </c>
      <c r="Q7" s="13"/>
      <c r="R7" s="13"/>
    </row>
    <row r="8">
      <c r="B8" s="15" t="s">
        <v>10</v>
      </c>
      <c r="C8" s="15">
        <v>0.7</v>
      </c>
      <c r="K8" s="2"/>
      <c r="O8" s="16">
        <v>4.0</v>
      </c>
      <c r="P8" s="16" t="s">
        <v>11</v>
      </c>
      <c r="Q8" s="13"/>
      <c r="R8" s="13"/>
    </row>
    <row r="9">
      <c r="B9" s="15" t="s">
        <v>12</v>
      </c>
      <c r="C9" s="15">
        <v>0.0</v>
      </c>
      <c r="K9" s="2"/>
      <c r="O9" s="13"/>
      <c r="P9" s="13"/>
      <c r="Q9" s="13"/>
      <c r="R9" s="13"/>
      <c r="S9" s="13"/>
      <c r="T9" s="13"/>
    </row>
    <row r="10">
      <c r="B10" s="15" t="s">
        <v>13</v>
      </c>
      <c r="C10" s="15">
        <v>0.0</v>
      </c>
      <c r="K10" s="2"/>
    </row>
    <row r="11">
      <c r="B11" s="15" t="s">
        <v>14</v>
      </c>
      <c r="C11" s="15">
        <v>0.0</v>
      </c>
      <c r="K11" s="2"/>
    </row>
    <row r="12">
      <c r="K12" s="2"/>
    </row>
    <row r="13">
      <c r="K13" s="2"/>
    </row>
    <row r="14">
      <c r="B14" s="15" t="s">
        <v>15</v>
      </c>
      <c r="C14" s="15">
        <v>0.0</v>
      </c>
      <c r="K14" s="2"/>
    </row>
    <row r="15">
      <c r="B15" s="15" t="s">
        <v>16</v>
      </c>
      <c r="C15" s="15">
        <v>0.0</v>
      </c>
      <c r="K15" s="2"/>
    </row>
    <row r="16">
      <c r="B16" s="17" t="s">
        <v>17</v>
      </c>
      <c r="C16" s="18">
        <v>0.0</v>
      </c>
      <c r="K16" s="2"/>
    </row>
    <row r="17">
      <c r="K17" s="2"/>
    </row>
    <row r="18" ht="17.25" customHeight="1">
      <c r="K18" s="2"/>
    </row>
    <row r="19" ht="17.25" customHeight="1">
      <c r="B19" s="19" t="s">
        <v>18</v>
      </c>
      <c r="C19" s="19" t="s">
        <v>19</v>
      </c>
      <c r="D19" s="19" t="s">
        <v>20</v>
      </c>
      <c r="E19" s="19" t="s">
        <v>21</v>
      </c>
      <c r="F19" s="20" t="s">
        <v>22</v>
      </c>
      <c r="H19" s="19" t="s">
        <v>23</v>
      </c>
      <c r="I19" s="19" t="s">
        <v>18</v>
      </c>
      <c r="J19" s="19" t="s">
        <v>24</v>
      </c>
      <c r="K19" s="21" t="s">
        <v>25</v>
      </c>
      <c r="L19" s="19" t="s">
        <v>26</v>
      </c>
      <c r="M19" s="19" t="s">
        <v>27</v>
      </c>
      <c r="N19" s="20" t="s">
        <v>28</v>
      </c>
    </row>
    <row r="20">
      <c r="B20" s="17" t="s">
        <v>29</v>
      </c>
      <c r="C20" s="17">
        <v>1.0</v>
      </c>
      <c r="D20" s="17">
        <v>0.7</v>
      </c>
      <c r="E20" s="17">
        <v>0.0</v>
      </c>
      <c r="F20" s="17">
        <v>0.0</v>
      </c>
      <c r="H20" s="22" t="s">
        <v>30</v>
      </c>
      <c r="I20" s="17" t="s">
        <v>29</v>
      </c>
      <c r="J20" s="22" t="s">
        <v>31</v>
      </c>
      <c r="K20" s="23">
        <v>46172.92564847222</v>
      </c>
      <c r="L20" s="12">
        <v>0.7</v>
      </c>
      <c r="M20" s="12">
        <v>0.0</v>
      </c>
      <c r="N20" s="15">
        <v>0.0</v>
      </c>
    </row>
    <row r="21">
      <c r="B21" s="17"/>
      <c r="C21" s="17"/>
      <c r="D21" s="17"/>
      <c r="E21" s="17"/>
      <c r="F21" s="17"/>
      <c r="H21" s="17"/>
      <c r="I21" s="17"/>
      <c r="J21" s="17"/>
      <c r="K21" s="24"/>
      <c r="L21" s="15"/>
      <c r="M21" s="15"/>
      <c r="N21" s="15"/>
    </row>
    <row r="22">
      <c r="B22" s="17"/>
      <c r="C22" s="17"/>
      <c r="D22" s="17"/>
      <c r="E22" s="17"/>
      <c r="F22" s="17"/>
      <c r="H22" s="17"/>
      <c r="I22" s="17"/>
      <c r="J22" s="17"/>
      <c r="K22" s="24"/>
      <c r="L22" s="15"/>
      <c r="M22" s="15"/>
      <c r="N22" s="15"/>
    </row>
    <row r="23">
      <c r="B23" s="17"/>
      <c r="C23" s="17"/>
      <c r="D23" s="17"/>
      <c r="E23" s="17"/>
      <c r="F23" s="17"/>
      <c r="H23" s="17"/>
      <c r="I23" s="17"/>
      <c r="J23" s="17"/>
      <c r="K23" s="24"/>
      <c r="L23" s="15"/>
      <c r="M23" s="15"/>
      <c r="N23" s="15"/>
    </row>
    <row r="24">
      <c r="H24" s="17"/>
      <c r="I24" s="17"/>
      <c r="J24" s="17"/>
      <c r="K24" s="24"/>
      <c r="L24" s="15"/>
      <c r="M24" s="15"/>
      <c r="N24" s="15"/>
    </row>
    <row r="25">
      <c r="H25" s="17"/>
      <c r="I25" s="17"/>
      <c r="J25" s="17"/>
      <c r="K25" s="24"/>
      <c r="L25" s="15"/>
      <c r="M25" s="15"/>
      <c r="N25" s="15"/>
    </row>
    <row r="26">
      <c r="K26" s="24"/>
    </row>
    <row r="27">
      <c r="K27" s="24"/>
    </row>
    <row r="28">
      <c r="K28" s="24"/>
    </row>
    <row r="29">
      <c r="K29" s="24"/>
    </row>
    <row r="30">
      <c r="K30" s="24"/>
    </row>
    <row r="31">
      <c r="K31" s="24"/>
    </row>
    <row r="32">
      <c r="K32" s="24"/>
    </row>
    <row r="33">
      <c r="K33" s="24"/>
    </row>
    <row r="34">
      <c r="K34" s="24"/>
    </row>
    <row r="35">
      <c r="K35" s="24"/>
    </row>
    <row r="36">
      <c r="K36" s="24"/>
    </row>
    <row r="37">
      <c r="K37" s="24"/>
    </row>
    <row r="38">
      <c r="K38" s="24"/>
    </row>
    <row r="39">
      <c r="K39" s="24"/>
    </row>
    <row r="40">
      <c r="K40" s="24"/>
    </row>
    <row r="41">
      <c r="K41" s="24"/>
    </row>
    <row r="42">
      <c r="K42" s="24"/>
    </row>
    <row r="43">
      <c r="K43" s="24"/>
    </row>
    <row r="44">
      <c r="K44" s="24"/>
    </row>
    <row r="45">
      <c r="K45" s="24"/>
    </row>
    <row r="46">
      <c r="K46" s="24"/>
    </row>
    <row r="47">
      <c r="K47" s="24"/>
    </row>
    <row r="48">
      <c r="K48" s="24"/>
    </row>
    <row r="49">
      <c r="K49" s="24"/>
    </row>
    <row r="50">
      <c r="K50" s="24"/>
    </row>
    <row r="51">
      <c r="K51" s="24"/>
    </row>
    <row r="52">
      <c r="K52" s="24"/>
    </row>
    <row r="53">
      <c r="K53" s="24"/>
    </row>
    <row r="54">
      <c r="K54" s="24"/>
    </row>
    <row r="55">
      <c r="K55" s="24"/>
    </row>
    <row r="56">
      <c r="K56" s="24"/>
    </row>
    <row r="57">
      <c r="K57" s="24"/>
    </row>
    <row r="58">
      <c r="K58" s="24"/>
    </row>
    <row r="59">
      <c r="K59" s="24"/>
    </row>
    <row r="60">
      <c r="K60" s="24"/>
    </row>
    <row r="61">
      <c r="K61" s="24"/>
    </row>
    <row r="62">
      <c r="K62" s="24"/>
    </row>
    <row r="63">
      <c r="K63" s="24"/>
    </row>
    <row r="64">
      <c r="K64" s="24"/>
    </row>
    <row r="65">
      <c r="K65" s="24"/>
    </row>
    <row r="66">
      <c r="K66" s="24"/>
    </row>
    <row r="67">
      <c r="K67" s="24"/>
    </row>
    <row r="68">
      <c r="K68" s="24"/>
    </row>
    <row r="69">
      <c r="K69" s="24"/>
    </row>
    <row r="70">
      <c r="K70" s="24"/>
    </row>
    <row r="71">
      <c r="K71" s="25"/>
    </row>
    <row r="72">
      <c r="K72" s="25"/>
    </row>
    <row r="73">
      <c r="K73" s="25"/>
    </row>
    <row r="74">
      <c r="K74" s="2"/>
    </row>
    <row r="75">
      <c r="K75" s="2"/>
    </row>
    <row r="76">
      <c r="K76" s="2"/>
    </row>
    <row r="77">
      <c r="K77" s="2"/>
    </row>
    <row r="78">
      <c r="K78" s="2"/>
    </row>
    <row r="79">
      <c r="K79" s="2"/>
    </row>
    <row r="80">
      <c r="K80" s="2"/>
    </row>
    <row r="81">
      <c r="K81" s="2"/>
    </row>
    <row r="82">
      <c r="K82" s="2"/>
    </row>
    <row r="83">
      <c r="K83" s="2"/>
    </row>
    <row r="84">
      <c r="K84" s="2"/>
    </row>
    <row r="85">
      <c r="K85" s="2"/>
    </row>
    <row r="86">
      <c r="K86" s="2"/>
    </row>
    <row r="87">
      <c r="K87" s="2"/>
    </row>
    <row r="88">
      <c r="K88" s="2"/>
    </row>
    <row r="89">
      <c r="K89" s="2"/>
    </row>
    <row r="90">
      <c r="K90" s="2"/>
    </row>
    <row r="91">
      <c r="K91" s="2"/>
    </row>
    <row r="92">
      <c r="K92" s="2"/>
    </row>
    <row r="93">
      <c r="K93" s="2"/>
    </row>
    <row r="94">
      <c r="K94" s="2"/>
    </row>
    <row r="95">
      <c r="K95" s="2"/>
    </row>
    <row r="96">
      <c r="K96" s="2"/>
    </row>
    <row r="97">
      <c r="K97" s="2"/>
    </row>
    <row r="98">
      <c r="K98" s="2"/>
    </row>
    <row r="99">
      <c r="K99" s="2"/>
    </row>
    <row r="100">
      <c r="K100" s="2"/>
    </row>
  </sheetData>
  <mergeCells count="5">
    <mergeCell ref="A1:E1"/>
    <mergeCell ref="B2:K2"/>
    <mergeCell ref="B3:C3"/>
    <mergeCell ref="M3:R3"/>
    <mergeCell ref="O4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46172.92564847222</v>
      </c>
      <c r="B1" s="27" t="s">
        <v>32</v>
      </c>
      <c r="C1" s="28">
        <v>41.829166666666666</v>
      </c>
      <c r="J1" s="17" t="s">
        <v>33</v>
      </c>
      <c r="K1" s="17" t="s">
        <v>34</v>
      </c>
    </row>
    <row r="2">
      <c r="A2" s="26">
        <v>46172.925648530094</v>
      </c>
      <c r="B2" s="27" t="s">
        <v>35</v>
      </c>
      <c r="C2" s="29">
        <f> COUNTIF(B:B, "Bug")</f>
        <v>0</v>
      </c>
      <c r="K2" s="17" t="s">
        <v>36</v>
      </c>
    </row>
    <row r="3">
      <c r="A3" s="26">
        <v>46172.92564858796</v>
      </c>
      <c r="B3" s="27" t="s">
        <v>37</v>
      </c>
      <c r="C3" s="29">
        <f> COUNTIF(B:B, "Bug OffCharter")</f>
        <v>0</v>
      </c>
      <c r="K3" s="17" t="s">
        <v>38</v>
      </c>
    </row>
    <row r="4">
      <c r="A4" s="26">
        <v>46172.92564864583</v>
      </c>
      <c r="B4" s="27" t="s">
        <v>39</v>
      </c>
      <c r="C4" s="28">
        <v>41.8279</v>
      </c>
      <c r="K4" s="17" t="s">
        <v>40</v>
      </c>
    </row>
    <row r="5">
      <c r="A5" s="26">
        <v>46172.92564869213</v>
      </c>
      <c r="B5" s="27" t="s">
        <v>41</v>
      </c>
      <c r="C5" s="28">
        <v>0.0</v>
      </c>
      <c r="J5" s="17" t="s">
        <v>42</v>
      </c>
      <c r="K5" s="17" t="s">
        <v>43</v>
      </c>
    </row>
    <row r="6">
      <c r="A6" s="26">
        <v>46172.92564873843</v>
      </c>
      <c r="B6" s="27" t="s">
        <v>44</v>
      </c>
      <c r="C6" s="28">
        <v>0.0</v>
      </c>
      <c r="K6" s="17" t="s">
        <v>45</v>
      </c>
    </row>
    <row r="7">
      <c r="A7" s="26">
        <v>46172.9256487963</v>
      </c>
      <c r="B7" s="27" t="s">
        <v>46</v>
      </c>
      <c r="C7" s="28">
        <v>0.0</v>
      </c>
      <c r="K7" s="17" t="s">
        <v>47</v>
      </c>
    </row>
    <row r="8">
      <c r="A8" s="26">
        <v>46172.92564884259</v>
      </c>
      <c r="B8" s="27" t="s">
        <v>48</v>
      </c>
      <c r="C8" s="29">
        <f> COUNTIF(B:B, "Question")</f>
        <v>0</v>
      </c>
      <c r="K8" s="17" t="s">
        <v>49</v>
      </c>
    </row>
    <row r="9">
      <c r="A9" s="26">
        <v>46172.92564891204</v>
      </c>
      <c r="B9" s="27" t="s">
        <v>50</v>
      </c>
      <c r="C9" s="29">
        <f> COUNTIF(B:B, "NextTime")</f>
        <v>0</v>
      </c>
      <c r="K9" s="17" t="s">
        <v>51</v>
      </c>
    </row>
    <row r="10">
      <c r="A10" s="26">
        <v>46172.925648969904</v>
      </c>
      <c r="B10" s="17" t="s">
        <v>52</v>
      </c>
      <c r="C10" s="17" t="s">
        <v>31</v>
      </c>
    </row>
    <row r="11">
      <c r="A11" s="26">
        <v>46172.92564902778</v>
      </c>
      <c r="B11" s="17" t="s">
        <v>53</v>
      </c>
      <c r="C11" s="17" t="s">
        <v>30</v>
      </c>
    </row>
    <row r="12">
      <c r="A12" s="26">
        <v>46172.92564907407</v>
      </c>
      <c r="B12" s="17" t="s">
        <v>54</v>
      </c>
      <c r="C12" s="17">
        <v>40.0</v>
      </c>
    </row>
    <row r="13">
      <c r="A13" s="26">
        <v>46172.92564912037</v>
      </c>
      <c r="B13" s="17" t="s">
        <v>55</v>
      </c>
      <c r="C13" s="17" t="s">
        <v>56</v>
      </c>
    </row>
    <row r="14">
      <c r="A14" s="26">
        <v>46172.92564916667</v>
      </c>
      <c r="B14" s="17" t="s">
        <v>18</v>
      </c>
      <c r="C14" s="17" t="s">
        <v>57</v>
      </c>
    </row>
    <row r="15">
      <c r="A15" s="26">
        <v>46172.925649212964</v>
      </c>
      <c r="B15" s="17" t="s">
        <v>58</v>
      </c>
      <c r="C15" s="30" t="s">
        <v>34</v>
      </c>
    </row>
    <row r="16">
      <c r="A16" s="26">
        <v>46172.925649259254</v>
      </c>
      <c r="B16" s="17" t="s">
        <v>59</v>
      </c>
      <c r="C16" s="15">
        <v>-1.8291666666666657</v>
      </c>
    </row>
    <row r="17">
      <c r="A17" s="26">
        <v>46172.92564930556</v>
      </c>
      <c r="B17" s="17" t="s">
        <v>60</v>
      </c>
      <c r="C17" s="31" t="s">
        <v>61</v>
      </c>
    </row>
    <row r="18">
      <c r="A18" s="32">
        <v>46172.92564935185</v>
      </c>
      <c r="B18" s="30" t="s">
        <v>34</v>
      </c>
      <c r="C18" s="33" t="s">
        <v>62</v>
      </c>
    </row>
    <row r="19">
      <c r="A19" s="32">
        <v>46172.927862094904</v>
      </c>
      <c r="B19" s="30" t="s">
        <v>43</v>
      </c>
      <c r="C19" s="17" t="s">
        <v>63</v>
      </c>
    </row>
    <row r="20">
      <c r="A20" s="32">
        <v>46172.92848832176</v>
      </c>
      <c r="B20" s="30" t="s">
        <v>34</v>
      </c>
      <c r="C20" s="17" t="s">
        <v>64</v>
      </c>
    </row>
    <row r="21">
      <c r="A21" s="32">
        <v>46172.92915659722</v>
      </c>
      <c r="B21" s="30" t="s">
        <v>43</v>
      </c>
      <c r="C21" s="17" t="s">
        <v>65</v>
      </c>
    </row>
    <row r="22">
      <c r="A22" s="32">
        <v>46172.929410358796</v>
      </c>
      <c r="B22" s="30" t="s">
        <v>34</v>
      </c>
      <c r="C22" s="17" t="s">
        <v>66</v>
      </c>
    </row>
    <row r="23">
      <c r="A23" s="32">
        <v>46172.92991894676</v>
      </c>
      <c r="B23" s="30" t="s">
        <v>43</v>
      </c>
      <c r="C23" s="17" t="s">
        <v>65</v>
      </c>
    </row>
    <row r="24">
      <c r="A24" s="32">
        <v>46172.93000850694</v>
      </c>
      <c r="B24" s="30" t="s">
        <v>34</v>
      </c>
      <c r="C24" s="17" t="s">
        <v>67</v>
      </c>
    </row>
    <row r="25">
      <c r="A25" s="32">
        <v>46172.93050369213</v>
      </c>
      <c r="B25" s="30" t="s">
        <v>43</v>
      </c>
      <c r="C25" s="17" t="s">
        <v>68</v>
      </c>
    </row>
    <row r="26">
      <c r="A26" s="32">
        <v>46172.93089096065</v>
      </c>
      <c r="B26" s="30" t="s">
        <v>34</v>
      </c>
      <c r="C26" s="17" t="s">
        <v>69</v>
      </c>
    </row>
    <row r="27">
      <c r="A27" s="32">
        <v>46172.93163605324</v>
      </c>
      <c r="B27" s="30" t="s">
        <v>43</v>
      </c>
      <c r="C27" s="17" t="s">
        <v>70</v>
      </c>
    </row>
    <row r="28">
      <c r="A28" s="32">
        <v>46172.93206769676</v>
      </c>
      <c r="B28" s="30" t="s">
        <v>34</v>
      </c>
      <c r="C28" s="17" t="s">
        <v>71</v>
      </c>
    </row>
    <row r="29">
      <c r="A29" s="32">
        <v>46172.93274118056</v>
      </c>
      <c r="B29" s="30" t="s">
        <v>43</v>
      </c>
      <c r="C29" s="17" t="s">
        <v>72</v>
      </c>
    </row>
    <row r="30">
      <c r="A30" s="32">
        <v>46172.93300431713</v>
      </c>
      <c r="B30" s="30" t="s">
        <v>34</v>
      </c>
      <c r="C30" s="17" t="s">
        <v>73</v>
      </c>
    </row>
    <row r="31">
      <c r="A31" s="32">
        <v>46172.93392850694</v>
      </c>
      <c r="B31" s="30" t="s">
        <v>43</v>
      </c>
      <c r="C31" s="17" t="s">
        <v>74</v>
      </c>
    </row>
    <row r="32">
      <c r="A32" s="32">
        <v>46172.93426193287</v>
      </c>
      <c r="B32" s="30" t="s">
        <v>34</v>
      </c>
      <c r="C32" s="17" t="s">
        <v>75</v>
      </c>
    </row>
    <row r="33">
      <c r="A33" s="32">
        <v>46172.93773855324</v>
      </c>
      <c r="B33" s="30" t="s">
        <v>43</v>
      </c>
      <c r="C33" s="17" t="s">
        <v>76</v>
      </c>
    </row>
    <row r="34">
      <c r="A34" s="32">
        <v>46172.93805123842</v>
      </c>
      <c r="B34" s="30" t="s">
        <v>34</v>
      </c>
      <c r="C34" s="17" t="s">
        <v>77</v>
      </c>
    </row>
    <row r="35">
      <c r="A35" s="32">
        <v>46172.93881266203</v>
      </c>
      <c r="B35" s="30" t="s">
        <v>43</v>
      </c>
      <c r="C35" s="17" t="s">
        <v>78</v>
      </c>
    </row>
    <row r="36">
      <c r="A36" s="32">
        <v>46172.939379560186</v>
      </c>
      <c r="B36" s="30" t="s">
        <v>34</v>
      </c>
      <c r="C36" s="17" t="s">
        <v>79</v>
      </c>
    </row>
    <row r="37">
      <c r="A37" s="32">
        <v>46172.94149304398</v>
      </c>
      <c r="B37" s="30" t="s">
        <v>43</v>
      </c>
      <c r="C37" s="17" t="s">
        <v>80</v>
      </c>
    </row>
    <row r="38">
      <c r="A38" s="32">
        <v>46172.943380868055</v>
      </c>
      <c r="B38" s="30" t="s">
        <v>34</v>
      </c>
      <c r="C38" s="17" t="s">
        <v>81</v>
      </c>
    </row>
    <row r="39">
      <c r="A39" s="32">
        <v>46172.94600069444</v>
      </c>
      <c r="B39" s="30" t="s">
        <v>43</v>
      </c>
      <c r="C39" s="17" t="s">
        <v>82</v>
      </c>
    </row>
    <row r="40">
      <c r="A40" s="32">
        <v>46172.947510555554</v>
      </c>
      <c r="B40" s="30" t="s">
        <v>34</v>
      </c>
      <c r="C40" s="17" t="s">
        <v>83</v>
      </c>
    </row>
    <row r="41">
      <c r="A41" s="32">
        <v>46172.95015188657</v>
      </c>
      <c r="B41" s="30" t="s">
        <v>43</v>
      </c>
      <c r="C41" s="17" t="s">
        <v>84</v>
      </c>
    </row>
    <row r="42">
      <c r="A42" s="32">
        <v>46172.95030616898</v>
      </c>
      <c r="B42" s="30" t="s">
        <v>34</v>
      </c>
      <c r="C42" s="17" t="s">
        <v>85</v>
      </c>
    </row>
    <row r="43">
      <c r="A43" s="32">
        <v>46172.9531799074</v>
      </c>
      <c r="B43" s="30" t="s">
        <v>43</v>
      </c>
      <c r="C43" s="17" t="s">
        <v>86</v>
      </c>
    </row>
    <row r="44">
      <c r="A44" s="32">
        <v>46172.95373386574</v>
      </c>
      <c r="B44" s="30" t="s">
        <v>34</v>
      </c>
      <c r="C44" s="17" t="s">
        <v>87</v>
      </c>
    </row>
    <row r="45">
      <c r="A45" s="32">
        <v>46172.95383116898</v>
      </c>
      <c r="B45" s="30" t="s">
        <v>43</v>
      </c>
      <c r="C45" s="17" t="s">
        <v>88</v>
      </c>
    </row>
    <row r="46">
      <c r="A46" s="32">
        <v>46172.95448461805</v>
      </c>
      <c r="B46" s="30" t="s">
        <v>34</v>
      </c>
      <c r="C46" s="17" t="s">
        <v>89</v>
      </c>
    </row>
    <row r="47">
      <c r="A47" s="32">
        <v>46172.95469650463</v>
      </c>
      <c r="B47" s="30" t="s">
        <v>43</v>
      </c>
      <c r="C47" s="17" t="s">
        <v>90</v>
      </c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ataValidations>
    <dataValidation type="list" allowBlank="1" sqref="B18:B1000">
      <formula1>Sheet38!$K$1:$K$9</formula1>
    </dataValidation>
  </dataValidations>
  <drawing r:id="rId1"/>
</worksheet>
</file>